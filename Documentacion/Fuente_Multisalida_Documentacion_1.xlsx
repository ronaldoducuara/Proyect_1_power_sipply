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ucua\Desktop\Prototipad\Librerias\Proyect\Proyect_1_power_sipply\Documentacion\"/>
    </mc:Choice>
  </mc:AlternateContent>
  <xr:revisionPtr revIDLastSave="0" documentId="8_{0FAA73E6-F9C7-4A8E-80C1-460666795AF2}" xr6:coauthVersionLast="47" xr6:coauthVersionMax="47" xr10:uidLastSave="{00000000-0000-0000-0000-000000000000}"/>
  <bookViews>
    <workbookView xWindow="-108" yWindow="-108" windowWidth="23256" windowHeight="13176" firstSheet="2" activeTab="7" xr2:uid="{00000000-000D-0000-FFFF-FFFF00000000}"/>
  </bookViews>
  <sheets>
    <sheet name="Resumen" sheetId="1" r:id="rId1"/>
    <sheet name="Especificaciones" sheetId="2" r:id="rId2"/>
    <sheet name="Req_Funcionales" sheetId="3" r:id="rId3"/>
    <sheet name="Req_NoFuncionales" sheetId="4" r:id="rId4"/>
    <sheet name="Restricciones" sheetId="5" r:id="rId5"/>
    <sheet name="Lista_Componentes" sheetId="6" r:id="rId6"/>
    <sheet name="Calculos" sheetId="7" r:id="rId7"/>
    <sheet name="Convertidores" sheetId="8" r:id="rId8"/>
    <sheet name="Decision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9" l="1"/>
  <c r="D16" i="9"/>
  <c r="D14" i="9"/>
  <c r="D13" i="9"/>
  <c r="D11" i="9"/>
  <c r="D10" i="9"/>
  <c r="D8" i="9"/>
  <c r="D6" i="9"/>
  <c r="D4" i="9"/>
  <c r="G88" i="8"/>
  <c r="F88" i="8"/>
  <c r="E88" i="8"/>
  <c r="D88" i="8"/>
  <c r="C88" i="8"/>
  <c r="G80" i="8"/>
  <c r="G81" i="8" s="1"/>
  <c r="F80" i="8"/>
  <c r="F81" i="8" s="1"/>
  <c r="E80" i="8"/>
  <c r="E81" i="8" s="1"/>
  <c r="D80" i="8"/>
  <c r="D81" i="8" s="1"/>
  <c r="G79" i="8"/>
  <c r="F79" i="8"/>
  <c r="E79" i="8"/>
  <c r="D79" i="8"/>
  <c r="C79" i="8"/>
  <c r="C80" i="8" s="1"/>
  <c r="C81" i="8" s="1"/>
  <c r="F66" i="8"/>
  <c r="G58" i="8"/>
  <c r="E58" i="8"/>
  <c r="D58" i="8"/>
  <c r="C58" i="8"/>
  <c r="G49" i="8"/>
  <c r="F49" i="8"/>
  <c r="E49" i="8"/>
  <c r="D49" i="8"/>
  <c r="C49" i="8"/>
  <c r="G37" i="8"/>
  <c r="E37" i="8"/>
  <c r="D37" i="8"/>
  <c r="C37" i="8"/>
  <c r="G26" i="8"/>
  <c r="C56" i="7" s="1"/>
  <c r="C59" i="7" s="1"/>
  <c r="F26" i="8"/>
  <c r="E26" i="8"/>
  <c r="D26" i="8"/>
  <c r="C26" i="8"/>
  <c r="G13" i="8"/>
  <c r="G70" i="8" s="1"/>
  <c r="G12" i="8"/>
  <c r="G10" i="8"/>
  <c r="F10" i="8"/>
  <c r="F12" i="8" s="1"/>
  <c r="F13" i="8" s="1"/>
  <c r="F70" i="8" s="1"/>
  <c r="F76" i="8" s="1"/>
  <c r="F77" i="8" s="1"/>
  <c r="E10" i="8"/>
  <c r="E12" i="8" s="1"/>
  <c r="E13" i="8" s="1"/>
  <c r="E70" i="8" s="1"/>
  <c r="D10" i="8"/>
  <c r="D12" i="8" s="1"/>
  <c r="D13" i="8" s="1"/>
  <c r="D70" i="8" s="1"/>
  <c r="C10" i="8"/>
  <c r="C12" i="8" s="1"/>
  <c r="C153" i="7"/>
  <c r="C152" i="7"/>
  <c r="C151" i="7"/>
  <c r="C150" i="7"/>
  <c r="C149" i="7"/>
  <c r="C135" i="7"/>
  <c r="C133" i="7"/>
  <c r="C134" i="7" s="1"/>
  <c r="C132" i="7"/>
  <c r="C101" i="7"/>
  <c r="C98" i="7"/>
  <c r="C61" i="7"/>
  <c r="C62" i="7" s="1"/>
  <c r="C49" i="7"/>
  <c r="C41" i="7"/>
  <c r="C42" i="7" s="1"/>
  <c r="C43" i="7" s="1"/>
  <c r="C34" i="7"/>
  <c r="C30" i="7"/>
  <c r="D5" i="9" s="1"/>
  <c r="C20" i="7"/>
  <c r="E23" i="3" s="1"/>
  <c r="F23" i="3" s="1"/>
  <c r="C9" i="7"/>
  <c r="C8" i="7"/>
  <c r="G55" i="6"/>
  <c r="E19" i="5"/>
  <c r="E18" i="5"/>
  <c r="C18" i="5"/>
  <c r="F18" i="5" s="1"/>
  <c r="C5" i="5"/>
  <c r="E21" i="4"/>
  <c r="F21" i="4" s="1"/>
  <c r="F20" i="4"/>
  <c r="E19" i="4"/>
  <c r="C18" i="4"/>
  <c r="C15" i="4"/>
  <c r="C13" i="4"/>
  <c r="C12" i="4"/>
  <c r="F11" i="4"/>
  <c r="E11" i="4"/>
  <c r="E8" i="4"/>
  <c r="F8" i="4" s="1"/>
  <c r="E5" i="4"/>
  <c r="F5" i="4" s="1"/>
  <c r="F30" i="3"/>
  <c r="E28" i="3"/>
  <c r="E27" i="3"/>
  <c r="C23" i="3"/>
  <c r="E19" i="3"/>
  <c r="F19" i="3" s="1"/>
  <c r="F18" i="3"/>
  <c r="E18" i="3"/>
  <c r="E11" i="3"/>
  <c r="C10" i="3"/>
  <c r="C8" i="3"/>
  <c r="C35" i="2"/>
  <c r="C32" i="2"/>
  <c r="C31" i="2"/>
  <c r="C30" i="2"/>
  <c r="C28" i="2"/>
  <c r="C20" i="2"/>
  <c r="C19" i="2"/>
  <c r="E8" i="2"/>
  <c r="E9" i="2" s="1"/>
  <c r="E7" i="2"/>
  <c r="E6" i="2"/>
  <c r="E5" i="2"/>
  <c r="E4" i="2"/>
  <c r="A24" i="1"/>
  <c r="A23" i="1"/>
  <c r="A22" i="1"/>
  <c r="A21" i="1"/>
  <c r="A20" i="1"/>
  <c r="A19" i="1"/>
  <c r="A18" i="1"/>
  <c r="A17" i="1"/>
  <c r="B12" i="1"/>
  <c r="B5" i="1"/>
  <c r="C83" i="8" l="1"/>
  <c r="C84" i="8" s="1"/>
  <c r="C82" i="8"/>
  <c r="E76" i="8"/>
  <c r="E77" i="8" s="1"/>
  <c r="E73" i="8"/>
  <c r="G73" i="8"/>
  <c r="G76" i="8"/>
  <c r="G77" i="8" s="1"/>
  <c r="D82" i="8"/>
  <c r="D83" i="8"/>
  <c r="D84" i="8" s="1"/>
  <c r="E83" i="8"/>
  <c r="E84" i="8" s="1"/>
  <c r="E82" i="8"/>
  <c r="F82" i="8"/>
  <c r="F83" i="8"/>
  <c r="F84" i="8" s="1"/>
  <c r="G82" i="8"/>
  <c r="G83" i="8"/>
  <c r="G84" i="8" s="1"/>
  <c r="C44" i="7"/>
  <c r="C13" i="8"/>
  <c r="C70" i="8" s="1"/>
  <c r="C22" i="7"/>
  <c r="C23" i="7" s="1"/>
  <c r="E14" i="4" s="1"/>
  <c r="F14" i="4" s="1"/>
  <c r="C26" i="2"/>
  <c r="B10" i="1"/>
  <c r="C8" i="5"/>
  <c r="D7" i="9"/>
  <c r="C9" i="3"/>
  <c r="C63" i="7"/>
  <c r="C110" i="7"/>
  <c r="C111" i="7" s="1"/>
  <c r="D76" i="8"/>
  <c r="D77" i="8" s="1"/>
  <c r="D73" i="8"/>
  <c r="C124" i="7"/>
  <c r="C21" i="7"/>
  <c r="C73" i="8" l="1"/>
  <c r="C19" i="5" s="1"/>
  <c r="F19" i="5" s="1"/>
  <c r="C76" i="8"/>
  <c r="E15" i="5"/>
  <c r="F15" i="5" s="1"/>
  <c r="G16" i="8"/>
  <c r="F16" i="8"/>
  <c r="C136" i="7"/>
  <c r="E16" i="8"/>
  <c r="D16" i="8"/>
  <c r="C16" i="8"/>
  <c r="C125" i="7"/>
  <c r="C68" i="7"/>
  <c r="E10" i="3"/>
  <c r="F10" i="3" s="1"/>
  <c r="C66" i="7"/>
  <c r="C122" i="7"/>
  <c r="C65" i="7"/>
  <c r="C27" i="2"/>
  <c r="B11" i="1"/>
  <c r="E6" i="4"/>
  <c r="F6" i="4" s="1"/>
  <c r="C22" i="2"/>
  <c r="B6" i="1"/>
  <c r="D9" i="9"/>
  <c r="C45" i="7"/>
  <c r="C69" i="7" l="1"/>
  <c r="E9" i="4"/>
  <c r="F9" i="4" s="1"/>
  <c r="C28" i="8"/>
  <c r="C66" i="8" s="1"/>
  <c r="C19" i="8"/>
  <c r="C33" i="8"/>
  <c r="E28" i="8"/>
  <c r="E66" i="8" s="1"/>
  <c r="E19" i="8"/>
  <c r="E33" i="8"/>
  <c r="C77" i="8"/>
  <c r="E18" i="4"/>
  <c r="F18" i="4" s="1"/>
  <c r="C112" i="7"/>
  <c r="C73" i="7"/>
  <c r="C51" i="7"/>
  <c r="C108" i="7"/>
  <c r="C109" i="7" s="1"/>
  <c r="C148" i="7"/>
  <c r="C46" i="7"/>
  <c r="C50" i="7" s="1"/>
  <c r="C117" i="7"/>
  <c r="C24" i="2"/>
  <c r="D28" i="8"/>
  <c r="D66" i="8" s="1"/>
  <c r="D19" i="8"/>
  <c r="D33" i="8"/>
  <c r="F28" i="8"/>
  <c r="F19" i="8"/>
  <c r="G19" i="8"/>
  <c r="G33" i="8"/>
  <c r="G28" i="8"/>
  <c r="G66" i="8"/>
  <c r="E36" i="8" l="1"/>
  <c r="E34" i="8"/>
  <c r="C119" i="7"/>
  <c r="C28" i="3"/>
  <c r="F28" i="3" s="1"/>
  <c r="C79" i="7"/>
  <c r="C77" i="7"/>
  <c r="C78" i="7" s="1"/>
  <c r="C74" i="7"/>
  <c r="C11" i="3"/>
  <c r="F11" i="3" s="1"/>
  <c r="C83" i="7"/>
  <c r="C84" i="7" s="1"/>
  <c r="E20" i="5" s="1"/>
  <c r="C147" i="7"/>
  <c r="C81" i="7"/>
  <c r="C82" i="7" s="1"/>
  <c r="C89" i="7"/>
  <c r="C90" i="7" s="1"/>
  <c r="F22" i="8"/>
  <c r="E16" i="5"/>
  <c r="F16" i="5" s="1"/>
  <c r="F21" i="8"/>
  <c r="E21" i="8"/>
  <c r="E60" i="8"/>
  <c r="E22" i="8"/>
  <c r="G21" i="8"/>
  <c r="G22" i="8"/>
  <c r="G60" i="8"/>
  <c r="C113" i="7"/>
  <c r="C138" i="7"/>
  <c r="D36" i="8"/>
  <c r="D34" i="8"/>
  <c r="D60" i="8"/>
  <c r="D22" i="8"/>
  <c r="D21" i="8"/>
  <c r="C36" i="8"/>
  <c r="C34" i="8"/>
  <c r="C21" i="8"/>
  <c r="C60" i="8"/>
  <c r="C22" i="8"/>
  <c r="G34" i="8"/>
  <c r="G36" i="8"/>
  <c r="C70" i="7"/>
  <c r="C85" i="7" s="1"/>
  <c r="C86" i="7" s="1"/>
  <c r="C87" i="7" s="1"/>
  <c r="C88" i="7" s="1"/>
  <c r="C29" i="2"/>
  <c r="E8" i="3"/>
  <c r="F8" i="3" s="1"/>
  <c r="C52" i="7"/>
  <c r="C80" i="7" l="1"/>
  <c r="B8" i="1"/>
  <c r="E15" i="4"/>
  <c r="F15" i="4" s="1"/>
  <c r="C38" i="8"/>
  <c r="C65" i="8" s="1"/>
  <c r="C44" i="8"/>
  <c r="C51" i="8"/>
  <c r="C52" i="8" s="1"/>
  <c r="C15" i="8"/>
  <c r="C25" i="2"/>
  <c r="C60" i="7"/>
  <c r="E14" i="5"/>
  <c r="F14" i="5" s="1"/>
  <c r="E8" i="5"/>
  <c r="F8" i="5" s="1"/>
  <c r="G15" i="8"/>
  <c r="F15" i="8"/>
  <c r="E15" i="8"/>
  <c r="E9" i="3"/>
  <c r="F9" i="3" s="1"/>
  <c r="B9" i="1"/>
  <c r="D15" i="8"/>
  <c r="D51" i="8"/>
  <c r="D52" i="8" s="1"/>
  <c r="D53" i="8" s="1"/>
  <c r="D44" i="8"/>
  <c r="D38" i="8"/>
  <c r="D65" i="8" s="1"/>
  <c r="C115" i="7"/>
  <c r="C19" i="4"/>
  <c r="F19" i="4" s="1"/>
  <c r="C92" i="7"/>
  <c r="C99" i="7"/>
  <c r="C76" i="7"/>
  <c r="E5" i="5"/>
  <c r="F5" i="5" s="1"/>
  <c r="G51" i="8"/>
  <c r="G52" i="8" s="1"/>
  <c r="G53" i="8" s="1"/>
  <c r="G44" i="8"/>
  <c r="G38" i="8"/>
  <c r="G65" i="8" s="1"/>
  <c r="C142" i="7"/>
  <c r="E22" i="4" s="1"/>
  <c r="C23" i="2"/>
  <c r="B14" i="1"/>
  <c r="C143" i="7"/>
  <c r="C139" i="7"/>
  <c r="E38" i="8"/>
  <c r="E65" i="8" s="1"/>
  <c r="E44" i="8"/>
  <c r="E51" i="8"/>
  <c r="E52" i="8" s="1"/>
  <c r="E53" i="8" s="1"/>
  <c r="D45" i="8" l="1"/>
  <c r="E14" i="3"/>
  <c r="F14" i="3" s="1"/>
  <c r="C53" i="8"/>
  <c r="C40" i="8"/>
  <c r="C27" i="8"/>
  <c r="C18" i="8"/>
  <c r="D40" i="8"/>
  <c r="E18" i="8"/>
  <c r="E27" i="8"/>
  <c r="E30" i="8" s="1"/>
  <c r="F27" i="8"/>
  <c r="F37" i="8" s="1"/>
  <c r="F18" i="8"/>
  <c r="G40" i="8"/>
  <c r="D27" i="8"/>
  <c r="D30" i="8" s="1"/>
  <c r="D18" i="8"/>
  <c r="E13" i="3"/>
  <c r="F13" i="3" s="1"/>
  <c r="C45" i="8"/>
  <c r="E45" i="8"/>
  <c r="E15" i="3"/>
  <c r="F15" i="3" s="1"/>
  <c r="E40" i="8"/>
  <c r="E17" i="3"/>
  <c r="F17" i="3" s="1"/>
  <c r="G45" i="8"/>
  <c r="C94" i="7"/>
  <c r="C27" i="3"/>
  <c r="F27" i="3" s="1"/>
  <c r="C141" i="7"/>
  <c r="E13" i="4"/>
  <c r="F13" i="4" s="1"/>
  <c r="C33" i="2"/>
  <c r="B13" i="1"/>
  <c r="G27" i="8"/>
  <c r="G30" i="8" s="1"/>
  <c r="G18" i="8"/>
  <c r="F58" i="8" l="1"/>
  <c r="F60" i="8" s="1"/>
  <c r="F36" i="8"/>
  <c r="F44" i="8" s="1"/>
  <c r="C30" i="8"/>
  <c r="E17" i="5"/>
  <c r="F17" i="5" s="1"/>
  <c r="E16" i="3" l="1"/>
  <c r="F16" i="3" s="1"/>
  <c r="F45" i="8"/>
  <c r="F38" i="8"/>
  <c r="F40" i="8" l="1"/>
  <c r="F51" i="8"/>
  <c r="F52" i="8" s="1"/>
  <c r="F65" i="8"/>
  <c r="F53" i="8" l="1"/>
  <c r="E12" i="4"/>
  <c r="F12" i="4" s="1"/>
</calcChain>
</file>

<file path=xl/sharedStrings.xml><?xml version="1.0" encoding="utf-8"?>
<sst xmlns="http://schemas.openxmlformats.org/spreadsheetml/2006/main" count="2045" uniqueCount="1336">
  <si>
    <t>Fuente de alimentación multisalida para laboratorio — Documentación inicial</t>
  </si>
  <si>
    <t>Universidad Tecnológica de Pereira · Ingeniería Mecatrónica · Autor: Ronaldo</t>
  </si>
  <si>
    <t>Resultados clave</t>
  </si>
  <si>
    <t>Potencia máxima total de salida</t>
  </si>
  <si>
    <t>W</t>
  </si>
  <si>
    <t>Potencia al bus VIN DC (con pérdidas)</t>
  </si>
  <si>
    <t>Transformador seleccionado</t>
  </si>
  <si>
    <t>Antek AS-4220 — 400 VA, 2 × 20 V / 10 A en paralelo</t>
  </si>
  <si>
    <t>Uso del transformador (corriente RMS requerida / nominal)</t>
  </si>
  <si>
    <t>Bus VIN DC — mínimo (peor caso)</t>
  </si>
  <si>
    <t>V</t>
  </si>
  <si>
    <t>Bus VIN DC — mínimo requerido</t>
  </si>
  <si>
    <t>Bus VIN DC — máximo (peor caso)</t>
  </si>
  <si>
    <t>Capacitancia del filtro</t>
  </si>
  <si>
    <t>µF</t>
  </si>
  <si>
    <t>Eficiencia total (red → salidas)</t>
  </si>
  <si>
    <t>Potencia tomada de la red</t>
  </si>
  <si>
    <t>Índice de hojas</t>
  </si>
  <si>
    <t>Datos cuantitativos y de topología (docente + decisiones)</t>
  </si>
  <si>
    <t>Qué debe hacer el sistema</t>
  </si>
  <si>
    <t>Cómo debe comportarse: seguridad, eficiencia, térmico, documentación</t>
  </si>
  <si>
    <t>Condiciones impuestas que limitan el diseño</t>
  </si>
  <si>
    <t>Lista preliminar de componentes principales con fuente y estado</t>
  </si>
  <si>
    <t>Cálculo del transformador, bus, rectificador, protecciones, ajuste y pistas</t>
  </si>
  <si>
    <t>Diseño de los cinco convertidores DC/DC por salida</t>
  </si>
  <si>
    <t>Leyenda de colores</t>
  </si>
  <si>
    <t>Texto azul con fondo amarillo</t>
  </si>
  <si>
    <t>Dato de entrada o supuesto: se puede editar y todo se recalcula.</t>
  </si>
  <si>
    <t>Texto negro</t>
  </si>
  <si>
    <t>Fórmula calculada.</t>
  </si>
  <si>
    <t>Texto verde</t>
  </si>
  <si>
    <t>Vínculo a otra hoja del libro.</t>
  </si>
  <si>
    <t>Fondo verde claro</t>
  </si>
  <si>
    <t>Resultado clave.</t>
  </si>
  <si>
    <t>Supuestos que conviene confirmar con el docente</t>
  </si>
  <si>
    <t>• Las cinco salidas pueden estar a su corriente máxima al mismo tiempo (peor caso).</t>
  </si>
  <si>
    <t>• La etapa de red (IEC, fusible, interruptor, NTC, varistor) se cablea en el chasis; la PCB solo recibe el secundario.</t>
  </si>
  <si>
    <t>• GND común de las salidas, flotante respecto a tierra de protección.</t>
  </si>
  <si>
    <t>• La construcción física y las pruebas se confirman aparte (PDF §4.2).</t>
  </si>
  <si>
    <t>Especificaciones del proyecto — datos cuantitativos y de topología</t>
  </si>
  <si>
    <t>Parte A y B: datos dados por el docente. Parte C: valores definidos o calculados en este diseño (vinculados a la hoja Calculos).</t>
  </si>
  <si>
    <t>N.º</t>
  </si>
  <si>
    <t>Tipo de salida</t>
  </si>
  <si>
    <t>Tensión (V)</t>
  </si>
  <si>
    <t>Corriente máx. (A)</t>
  </si>
  <si>
    <t>Potencia máx. (W)</t>
  </si>
  <si>
    <t>Convertidor DC/DC asignado</t>
  </si>
  <si>
    <t>Origen</t>
  </si>
  <si>
    <t>Fija positiva</t>
  </si>
  <si>
    <t>LM2678T-12 (reductor)</t>
  </si>
  <si>
    <t>Docente (PDF Tabla 1 y Tabla 3); convertidor: candidato validado</t>
  </si>
  <si>
    <t>LM2678T-5.0 (reductor)</t>
  </si>
  <si>
    <t>LM2678T-3.3 (reductor)</t>
  </si>
  <si>
    <t>Fija negativa</t>
  </si>
  <si>
    <t>TPS54560B (buck-boost inversor)</t>
  </si>
  <si>
    <t>Variable 1,25–15 V (se toma 15 V para la potencia máxima)</t>
  </si>
  <si>
    <t>LM2678T-ADJ (reductor ajustable)</t>
  </si>
  <si>
    <t>Potencia máxima total de salida (sin pérdidas)</t>
  </si>
  <si>
    <t>Debe coincidir con 151,9 W del PDF</t>
  </si>
  <si>
    <t>ID</t>
  </si>
  <si>
    <t>Parámetro</t>
  </si>
  <si>
    <t>Valor</t>
  </si>
  <si>
    <t>Unidad</t>
  </si>
  <si>
    <t>Estado</t>
  </si>
  <si>
    <t>Detalle</t>
  </si>
  <si>
    <t>B. Topología y etapa de entrada (dados por el docente)</t>
  </si>
  <si>
    <t>ESP-01</t>
  </si>
  <si>
    <t>Fuente de energía</t>
  </si>
  <si>
    <t>Red AC monofásica</t>
  </si>
  <si>
    <t>Dado</t>
  </si>
  <si>
    <t>A través de un transformador AC comercial.</t>
  </si>
  <si>
    <t>Docente (PDF Tabla 2)</t>
  </si>
  <si>
    <t>ESP-02</t>
  </si>
  <si>
    <t>Rectificación</t>
  </si>
  <si>
    <t>Puente de diodos</t>
  </si>
  <si>
    <t>GBJ3510 (35 A / 1000 V).</t>
  </si>
  <si>
    <t>ESP-03</t>
  </si>
  <si>
    <t>Filtrado</t>
  </si>
  <si>
    <t>Capacitivo</t>
  </si>
  <si>
    <t>3 × 10 000 µF / 50 V en paralelo.</t>
  </si>
  <si>
    <t>ESP-04</t>
  </si>
  <si>
    <t>Conversión</t>
  </si>
  <si>
    <t>DC/DC integrada en la PCB</t>
  </si>
  <si>
    <t>Cinco convertidores independientes, uno por salida, desde el bus VIN DC.</t>
  </si>
  <si>
    <t>Docente (PDF Tabla 2, §6)</t>
  </si>
  <si>
    <t>ESP-05</t>
  </si>
  <si>
    <t>Protecciones</t>
  </si>
  <si>
    <t>En tres niveles</t>
  </si>
  <si>
    <t>Entrada (antes del transformador), bus DC (después del filtro) y una por cada salida.</t>
  </si>
  <si>
    <t>Docente (PDF §6)</t>
  </si>
  <si>
    <t>C. Valores definidos en este diseño (vinculados a la hoja Calculos)</t>
  </si>
  <si>
    <t>ESP-06</t>
  </si>
  <si>
    <t>Tensión nominal de la red</t>
  </si>
  <si>
    <t>V rms</t>
  </si>
  <si>
    <t>Por confirmar</t>
  </si>
  <si>
    <t>Red de Colombia. Confirmar con el docente.</t>
  </si>
  <si>
    <t>Supuesto</t>
  </si>
  <si>
    <t>ESP-07</t>
  </si>
  <si>
    <t>Frecuencia de la red</t>
  </si>
  <si>
    <t>Hz</t>
  </si>
  <si>
    <t>ESP-08</t>
  </si>
  <si>
    <t>Transformador</t>
  </si>
  <si>
    <t>Antek AS-4220</t>
  </si>
  <si>
    <t>Definido</t>
  </si>
  <si>
    <t>Toroidal 400 VA, 2 × 20 V/10 A (en paralelo: 20 V / 20 A), primario dual 115/230 V, 50/60 Hz.</t>
  </si>
  <si>
    <t>Selección (hoja Calculos §5)</t>
  </si>
  <si>
    <t>ESP-09</t>
  </si>
  <si>
    <t>Potencia de entrada al bus VIN DC (con pérdidas)</t>
  </si>
  <si>
    <t>Calculado</t>
  </si>
  <si>
    <t>Todas las salidas a su corriente máxima a la vez.</t>
  </si>
  <si>
    <t>Cálculo (hoja Convertidores)</t>
  </si>
  <si>
    <t>ESP-10</t>
  </si>
  <si>
    <t>Potencia total tomada de la red</t>
  </si>
  <si>
    <t>Incluye pérdidas del puente y del transformador.</t>
  </si>
  <si>
    <t>Cálculo (hoja Calculos §10)</t>
  </si>
  <si>
    <t>ESP-11</t>
  </si>
  <si>
    <t>Corriente DC máxima del bus</t>
  </si>
  <si>
    <t>A</t>
  </si>
  <si>
    <t>Peor caso: red −10 %, plena carga.</t>
  </si>
  <si>
    <t>Cálculo (hoja Calculos §4)</t>
  </si>
  <si>
    <t>ESP-12</t>
  </si>
  <si>
    <t>Tensión MÍNIMA del bus VIN DC</t>
  </si>
  <si>
    <t>Debe ser ≥ mínimo requerido (ver ESP-13).</t>
  </si>
  <si>
    <t>ESP-13</t>
  </si>
  <si>
    <t>Tensión mínima requerida del bus</t>
  </si>
  <si>
    <t>Para que el LM2678-12 regule y la salida variable llegue a 15 V.</t>
  </si>
  <si>
    <t>ESP-14</t>
  </si>
  <si>
    <t>Tensión MÁXIMA del bus VIN DC</t>
  </si>
  <si>
    <t>Red +10 %, sin carga. Límite de los LM2678: 40 V.</t>
  </si>
  <si>
    <t>ESP-15</t>
  </si>
  <si>
    <t>Rizado admisible del bus (pico a pico)</t>
  </si>
  <si>
    <t>Dato pendiente del PDF resuelto.</t>
  </si>
  <si>
    <t>Decisión de diseño</t>
  </si>
  <si>
    <t>ESP-16</t>
  </si>
  <si>
    <t>Rizado real del bus (pico a pico)</t>
  </si>
  <si>
    <t>Con 30 000 µF a plena carga.</t>
  </si>
  <si>
    <t>ESP-17</t>
  </si>
  <si>
    <t>Capacitancia total del bus</t>
  </si>
  <si>
    <t>3 × 10 000 µF / 50 V.</t>
  </si>
  <si>
    <t>ESP-18</t>
  </si>
  <si>
    <t>Tolerancia de regulación de cada salida</t>
  </si>
  <si>
    <t>±%</t>
  </si>
  <si>
    <t>±2 % a 25 °C, ±3 % en temperatura.</t>
  </si>
  <si>
    <t>Hoja de datos LM2678</t>
  </si>
  <si>
    <t>ESP-19</t>
  </si>
  <si>
    <t>Rizado máximo de cada salida</t>
  </si>
  <si>
    <t>% de Vout</t>
  </si>
  <si>
    <t>Pico a pico.</t>
  </si>
  <si>
    <t>Hoja de datos LM2678 §7.1.3</t>
  </si>
  <si>
    <t>ESP-20</t>
  </si>
  <si>
    <t>Objetivo ≥ 70 %.</t>
  </si>
  <si>
    <t>ESP-21</t>
  </si>
  <si>
    <t>Referencia común (tierra)</t>
  </si>
  <si>
    <t>GND común</t>
  </si>
  <si>
    <t>Las cinco salidas comparten GND; aislado de la red por el transformador; chasis a PE.</t>
  </si>
  <si>
    <t>ESP-22</t>
  </si>
  <si>
    <t>Condiciones ambientales de diseño</t>
  </si>
  <si>
    <t>°C</t>
  </si>
  <si>
    <t>Temperatura interna del gabinete; Tj ≤ 125 °C.</t>
  </si>
  <si>
    <t>Supuesto de diseño</t>
  </si>
  <si>
    <t>Requerimientos funcionales — qué debe hacer el sistema</t>
  </si>
  <si>
    <t>Cada fila es un requisito independiente (viñeta). «Valor de diseño» se vincula con la hoja Calculos / Convertidores; «Estado» se evalúa automáticamente.</t>
  </si>
  <si>
    <t>Requisito</t>
  </si>
  <si>
    <t>Umbral</t>
  </si>
  <si>
    <t>Valor de diseño</t>
  </si>
  <si>
    <t>Método de verificación</t>
  </si>
  <si>
    <t>Origen / referencia</t>
  </si>
  <si>
    <t>A. Etapa de entrada y bus VIN DC</t>
  </si>
  <si>
    <t>RF-01</t>
  </si>
  <si>
    <t>La fuente debe tomar la energía de la red AC monofásica a través de un transformador comercial.</t>
  </si>
  <si>
    <t>—</t>
  </si>
  <si>
    <t>Por inspección</t>
  </si>
  <si>
    <t>Inspección</t>
  </si>
  <si>
    <t>Docente (PDF §2.1, §4.2)</t>
  </si>
  <si>
    <t>RF-02</t>
  </si>
  <si>
    <t>El transformador AC debe reducir la tensión de la red y aislar galvánicamente las salidas.</t>
  </si>
  <si>
    <t>Docente (PDF §2.1)</t>
  </si>
  <si>
    <t>RF-03</t>
  </si>
  <si>
    <t>La tensión alterna del secundario debe rectificarse con un puente de diodos de onda completa.</t>
  </si>
  <si>
    <t>Docente (PDF §2.1, §5.1)</t>
  </si>
  <si>
    <t>RF-04</t>
  </si>
  <si>
    <t>El filtrado capacitivo debe mantener el rizado del bus VIN DC por debajo del límite en el peor caso (plena carga, red −10 %).</t>
  </si>
  <si>
    <t>V pp</t>
  </si>
  <si>
    <t>Docente (PDF §2.1) + decisión de diseño</t>
  </si>
  <si>
    <t>RF-05</t>
  </si>
  <si>
    <t>El bus VIN DC debe mantenerse por encima de la tensión mínima requerida en el peor caso, para que la salida variable llegue a 15 V y el convertidor de +12 V regule.</t>
  </si>
  <si>
    <t>Docente (PDF §4.2: bus con margen &gt; 15 V)</t>
  </si>
  <si>
    <t>RF-06</t>
  </si>
  <si>
    <t>El bus VIN DC no debe superar la tensión máxima de entrada de los convertidores con red +10 % y sin carga.</t>
  </si>
  <si>
    <t>RF-07</t>
  </si>
  <si>
    <t>El transformador debe poder entregar la corriente RMS que exige el rectificador con filtro capacitivo a plena carga.</t>
  </si>
  <si>
    <t>A rms</t>
  </si>
  <si>
    <t>Cálculo (hoja Calculos §5)</t>
  </si>
  <si>
    <t>B. Salidas reguladas (cada una con su convertidor DC/DC)</t>
  </si>
  <si>
    <t>RF-08</t>
  </si>
  <si>
    <t>Entregar una salida fija de +12 V con corriente máxima de 5 A.</t>
  </si>
  <si>
    <t>Prueba con carga electrónica</t>
  </si>
  <si>
    <t>Docente (PDF Tabla 1)</t>
  </si>
  <si>
    <t>RF-09</t>
  </si>
  <si>
    <t>Entregar una salida fija de +5 V con corriente máxima de 5 A.</t>
  </si>
  <si>
    <t>RF-10</t>
  </si>
  <si>
    <t>Entregar una salida fija de +3,3 V con corriente máxima de 3 A.</t>
  </si>
  <si>
    <t>RF-11</t>
  </si>
  <si>
    <t>Entregar una salida fija negativa de −12 V con corriente máxima de 1 A (convertidor inversor).</t>
  </si>
  <si>
    <t>RF-12</t>
  </si>
  <si>
    <t>Entregar una salida variable con corriente máxima de 3 A.</t>
  </si>
  <si>
    <t>RF-13</t>
  </si>
  <si>
    <t>La salida variable debe poder ajustarse hasta su valor mínimo de 1,25 V.</t>
  </si>
  <si>
    <t>Medición con multímetro</t>
  </si>
  <si>
    <t>RF-14</t>
  </si>
  <si>
    <t>La salida variable debe poder ajustarse hasta cerca de 15 V (dentro de 2 %).</t>
  </si>
  <si>
    <t>RF-15</t>
  </si>
  <si>
    <t>El ajuste de la salida variable debe hacerse con un potenciómetro multivuelta accesible.</t>
  </si>
  <si>
    <t>RF-16</t>
  </si>
  <si>
    <t>Las cinco salidas deben ser alimentadas por cinco convertidores DC/DC independientes conectados en paralelo al bus VIN DC.</t>
  </si>
  <si>
    <t>RF-17</t>
  </si>
  <si>
    <t>Las cinco salidas deben compartir una referencia común (GND).</t>
  </si>
  <si>
    <t>Decisión de diseño (PDF §9)</t>
  </si>
  <si>
    <t>RF-18</t>
  </si>
  <si>
    <t>Todas las salidas deben poder entregar su corriente máxima al mismo tiempo (diseño de peor caso).</t>
  </si>
  <si>
    <t>Prueba a plena carga</t>
  </si>
  <si>
    <t>RF-19</t>
  </si>
  <si>
    <t>Cada convertidor debe limitar su corriente y apagarse por sobretemperatura (protección integrada en el IC).</t>
  </si>
  <si>
    <t>Inspección (hoja de datos) y prueba de cortocircuito</t>
  </si>
  <si>
    <t>Hoja de datos LM2678 / TPS54560B</t>
  </si>
  <si>
    <t>C. Protecciones, maniobra y conexión</t>
  </si>
  <si>
    <t>RF-20</t>
  </si>
  <si>
    <t>Debe existir un interruptor general de encendido en la entrada de red.</t>
  </si>
  <si>
    <t>RF-21</t>
  </si>
  <si>
    <t>Protección de entrada (antes del transformador): fusible de acción lenta, varistor contra sobretensiones y NTC limitador de arranque.</t>
  </si>
  <si>
    <t>Cálculo (hoja Calculos §6)</t>
  </si>
  <si>
    <t>RF-22</t>
  </si>
  <si>
    <t>Protección del bus DC (después del filtrado): fusible, TVS y resistor de sangrado.</t>
  </si>
  <si>
    <t>Cálculo (hoja Calculos §8)</t>
  </si>
  <si>
    <t>RF-23</t>
  </si>
  <si>
    <t>Protección independiente en cada salida regulada: PTC reiniciable y diodo de sujeción (TVS o Zener).</t>
  </si>
  <si>
    <t>Inspección y prueba de sobrecarga</t>
  </si>
  <si>
    <t>RF-24</t>
  </si>
  <si>
    <t>Cada salida debe terminar en bornes (binding posts) de 15 A, un positivo por salida más bornes de GND común.</t>
  </si>
  <si>
    <t>Docente (PDF §8.1)</t>
  </si>
  <si>
    <t>Requerimientos no funcionales — cómo debe comportarse el sistema</t>
  </si>
  <si>
    <t>Seguridad, confiabilidad, eficiencia, regulación, térmico y documentación. Cada fila es un requisito independiente.</t>
  </si>
  <si>
    <t>A. Seguridad</t>
  </si>
  <si>
    <t>RNF-01</t>
  </si>
  <si>
    <t>Aislamiento galvánico entre la red y todas las salidas (primario–secundario).</t>
  </si>
  <si>
    <t>Hoja de datos (prueba del fabricante)</t>
  </si>
  <si>
    <t>IEC 61010-1 (referencia, confirmar) / Antek AS-4220</t>
  </si>
  <si>
    <t>RNF-02</t>
  </si>
  <si>
    <t>Todas las tensiones accesibles deben ser extra-bajas (&lt; 60 V DC).</t>
  </si>
  <si>
    <t>Buena práctica de seguridad</t>
  </si>
  <si>
    <t>RNF-03</t>
  </si>
  <si>
    <t>El chasis metálico debe conectarse a tierra de protección (PE) mediante la entrada IEC; el GND de las salidas queda flotante, con puente opcional al chasis.</t>
  </si>
  <si>
    <t>RNF-04</t>
  </si>
  <si>
    <t>Las protecciones deben dimensionarse sin usar el fusible por encima del 75 % de su corriente nominal.</t>
  </si>
  <si>
    <t>Inspección de cálculos</t>
  </si>
  <si>
    <t>Buena práctica de diseño</t>
  </si>
  <si>
    <t>RNF-05</t>
  </si>
  <si>
    <t>Los capacitores del bus deben tener tensión nominal ≥ 1,25 × la tensión máxima del bus.</t>
  </si>
  <si>
    <t>×</t>
  </si>
  <si>
    <t>B. Desempeño eléctrico</t>
  </si>
  <si>
    <t>RNF-06</t>
  </si>
  <si>
    <t>Regulación de cada salida dentro de ±3 % en todo el rango de carga y temperatura.</t>
  </si>
  <si>
    <t>Hoja de datos LM2678 (decisión de diseño)</t>
  </si>
  <si>
    <t>RNF-07</t>
  </si>
  <si>
    <t>Rizado pico a pico de cada salida ≤ 1 % de su tensión nominal.</t>
  </si>
  <si>
    <t>Cálculo y medición con osciloscopio (20 MHz)</t>
  </si>
  <si>
    <t>RNF-08</t>
  </si>
  <si>
    <t>Eficiencia total (red → salidas) a plena carga.</t>
  </si>
  <si>
    <t>Cálculo (hoja Calculos §10) y prueba</t>
  </si>
  <si>
    <t>RNF-09</t>
  </si>
  <si>
    <t>Eficiencia combinada de la etapa DC/DC ≥ 80 %.</t>
  </si>
  <si>
    <t>Cálculo</t>
  </si>
  <si>
    <t>RNF-10</t>
  </si>
  <si>
    <t>El transformador no debe operar por encima del 83 % de su capacidad de corriente (margen del 20 %).</t>
  </si>
  <si>
    <t>RNF-11</t>
  </si>
  <si>
    <t>Recuperación suave tras un cortocircuito en cada salida (sin histéresis del límite de corriente).</t>
  </si>
  <si>
    <t>Por prueba</t>
  </si>
  <si>
    <t>Prueba de cortocircuito (hoja de datos LM2678 §7.1.7)</t>
  </si>
  <si>
    <t>C. Térmico y confiabilidad</t>
  </si>
  <si>
    <t>RNF-12</t>
  </si>
  <si>
    <t>Temperatura de unión de los convertidores ≤ 125 °C con 40 °C de ambiente interno.</t>
  </si>
  <si>
    <t>Cálculo (hoja Convertidores §9) y prueba térmica</t>
  </si>
  <si>
    <t>Hoja de datos</t>
  </si>
  <si>
    <t>RNF-13</t>
  </si>
  <si>
    <t>El puente rectificador debe llevar disipador con resistencia térmica suficiente.</t>
  </si>
  <si>
    <t>°C/W</t>
  </si>
  <si>
    <t>Cálculo (hoja Calculos §7)</t>
  </si>
  <si>
    <t>Hoja de datos GBJ3510</t>
  </si>
  <si>
    <t>RNF-14</t>
  </si>
  <si>
    <t>Vida útil de los electrolíticos del bus ≥ 5000 h a 105 °C.</t>
  </si>
  <si>
    <t>h</t>
  </si>
  <si>
    <t>Nichicon LKS1H103MESB</t>
  </si>
  <si>
    <t>RNF-15</t>
  </si>
  <si>
    <t>Pistas de potencia dimensionadas por IPC-2221 con elevación de temperatura ≤ 20 °C.</t>
  </si>
  <si>
    <t>Cálculo (hoja Calculos §11)</t>
  </si>
  <si>
    <t>IPC-2221</t>
  </si>
  <si>
    <t>RNF-16</t>
  </si>
  <si>
    <t>Disipación de calor total compatible con el gabinete (se requiere ventilación natural o forzada).</t>
  </si>
  <si>
    <t>Inspección / prueba térmica</t>
  </si>
  <si>
    <t>D. Documentación, trazabilidad y diseño de la PCB</t>
  </si>
  <si>
    <t>RNF-17</t>
  </si>
  <si>
    <t>Cada componente debe registrarse con su fuente, enlace y características principales.</t>
  </si>
  <si>
    <t>Inspección (hoja Lista_Componentes)</t>
  </si>
  <si>
    <t>Docente (PDF §8.2)</t>
  </si>
  <si>
    <t>RNF-18</t>
  </si>
  <si>
    <t>Cada componente debe tener símbolo, huella y modelo 3D descargables de fuentes reconocidas (TI, DigiKey, Ultra Librarian, SnapEDA).</t>
  </si>
  <si>
    <t>Docente (PDF §3.2, §8.3)</t>
  </si>
  <si>
    <t>RNF-19</t>
  </si>
  <si>
    <t>Los componentes deben conseguirse en el mercado local o por importación (DigiKey/Mouser).</t>
  </si>
  <si>
    <t>Docente (PDF §4.2)</t>
  </si>
  <si>
    <t>RNF-20</t>
  </si>
  <si>
    <t>El layout debe seguir la guía de TI (AN-1229): lazos de corriente AC cortos, planos de tierra amplios y cobre de 2 oz.</t>
  </si>
  <si>
    <t>Hoja de datos LM2678 §7.4</t>
  </si>
  <si>
    <t>RNF-21</t>
  </si>
  <si>
    <t>Debe haber puntos de prueba y serigrafía legible en cada salida; fusibles accesibles para reemplazo.</t>
  </si>
  <si>
    <t>Restricciones de diseño — condiciones impuestas que limitan las decisiones</t>
  </si>
  <si>
    <t>Las restricciones B se derivan de las hojas de datos de los componentes seleccionados; se verifican contra los cálculos.</t>
  </si>
  <si>
    <t>A. Restricciones impuestas por el docente (PDF §4.2)</t>
  </si>
  <si>
    <t>RD-01</t>
  </si>
  <si>
    <t>La energía de entrada viene de la red AC mediante un transformador comercial; su capacidad limita la potencia total disponible.</t>
  </si>
  <si>
    <t>VA</t>
  </si>
  <si>
    <t>RD-02</t>
  </si>
  <si>
    <t>Topología impuesta: puente de diodos, filtrado capacitivo y conversión DC/DC integrada en la PCB.</t>
  </si>
  <si>
    <t>RD-03</t>
  </si>
  <si>
    <t>Las salidas son las cinco de la Tabla 1 y ninguna puede superar su corriente máxima.</t>
  </si>
  <si>
    <t>RD-04</t>
  </si>
  <si>
    <t>La salida variable está limitada a 1,25–15 V, lo que exige un bus VIN DC con margen por encima de 15 V.</t>
  </si>
  <si>
    <t>RD-05</t>
  </si>
  <si>
    <t>Los elementos deben ser comerciales, con documentación del fabricante y con modelos descargables para la PCB.</t>
  </si>
  <si>
    <t>RD-06</t>
  </si>
  <si>
    <t>Los elementos deben poder conseguirse en el medio local o por importación (restricción válida del proyecto).</t>
  </si>
  <si>
    <t>RD-07</t>
  </si>
  <si>
    <t>No se diseña el transformador: se selecciona un transformador comercial.</t>
  </si>
  <si>
    <t>RD-08</t>
  </si>
  <si>
    <t>La construcción física y las pruebas de la fuente se confirmarán con el docente.</t>
  </si>
  <si>
    <t>B. Restricciones derivadas de los componentes elegidos</t>
  </si>
  <si>
    <t>RD-09</t>
  </si>
  <si>
    <t>LM2678-12 exige tensión de entrada ≥ 15 V.</t>
  </si>
  <si>
    <t>Hoja de datos LM2678 §5.7</t>
  </si>
  <si>
    <t>RD-10</t>
  </si>
  <si>
    <t>Los LM2678 admiten como máximo 40 V de entrada en operación (45 V absolutos).</t>
  </si>
  <si>
    <t>Hoja de datos LM2678 §5.3</t>
  </si>
  <si>
    <t>RD-11</t>
  </si>
  <si>
    <t>TPS54560B: la tensión vista por el IC (Vin + |Vout|) no debe superar 60 V.</t>
  </si>
  <si>
    <t>Cálculo (hoja Convertidores §2)</t>
  </si>
  <si>
    <t>Hoja de datos TPS54560B</t>
  </si>
  <si>
    <t>RD-12</t>
  </si>
  <si>
    <t>Ciclo de trabajo máximo del LM2678: 91 %.</t>
  </si>
  <si>
    <t>Cálculo (hoja Convertidores §3)</t>
  </si>
  <si>
    <t>Hoja de datos LM2678 §5.9</t>
  </si>
  <si>
    <t>RD-13</t>
  </si>
  <si>
    <t>Con Vout &gt; 6 V y D &gt; 50 % el fabricante recomienda cargas ≤ I_lim/2 para evitar histéresis del límite de corriente (aplica a +12 V y a la variable en 15 V). Riesgo conocido: validar con prueba de cortocircuito y, si aparece, reducir Cout de la variable.</t>
  </si>
  <si>
    <t>Prueba de cortocircuito</t>
  </si>
  <si>
    <t>Hoja de datos LM2678 §7.1.7</t>
  </si>
  <si>
    <t>RD-14</t>
  </si>
  <si>
    <t>Disipadores de los LM2678 (TO-220): resistencia térmica ≤ la mínima requerida entre las cuatro salidas.</t>
  </si>
  <si>
    <t>Cálculo (hoja Convertidores §9)</t>
  </si>
  <si>
    <t>Hoja de datos LM2678 §5.4</t>
  </si>
  <si>
    <t>RD-15</t>
  </si>
  <si>
    <t>La corriente de rizado RMS por capacitor del bus no debe exceder la nominal del capacitor elegido (validar en la hoja de datos).</t>
  </si>
  <si>
    <t>Inspección (hoja de datos del capacitor)</t>
  </si>
  <si>
    <t>RD-16</t>
  </si>
  <si>
    <t>Los cuatro LM2678 comparten el bus: se usa cobre de 2 oz y un plano de tierra continuo (recomendación del fabricante).</t>
  </si>
  <si>
    <t>RD-17</t>
  </si>
  <si>
    <t>La etapa de red (módulo IEC, fusible, interruptor, NTC y varistor) se cablea en el chasis; la PCB recibe solo el secundario de baja tensión.</t>
  </si>
  <si>
    <t>Decisión de diseño (confirmar con el docente)</t>
  </si>
  <si>
    <t>Lista preliminar de componentes principales</t>
  </si>
  <si>
    <t>Cada componente trae su función, su justificación (cálculo en las hojas Calculos / Convertidores), su fuente y el estado de verificación. Los enlaces de búsqueda de DigiKey y SnapEDA se abren con el número de parte.</t>
  </si>
  <si>
    <t>Bloque</t>
  </si>
  <si>
    <t>Componente</t>
  </si>
  <si>
    <t>Referencia (MPN)</t>
  </si>
  <si>
    <t>Fabricante</t>
  </si>
  <si>
    <t>Características clave</t>
  </si>
  <si>
    <t>Cant.</t>
  </si>
  <si>
    <t>Función</t>
  </si>
  <si>
    <t>Justificación / cálculo</t>
  </si>
  <si>
    <t>Montaje</t>
  </si>
  <si>
    <t>Fuente (hoja de datos / distribuidor)</t>
  </si>
  <si>
    <t>Modelos CAD (símbolo, huella, 3D)</t>
  </si>
  <si>
    <t>Estado de verificación</t>
  </si>
  <si>
    <t>ENTRADA DE RED (cableada en el chasis)</t>
  </si>
  <si>
    <t>C-01</t>
  </si>
  <si>
    <t>Entrada de red</t>
  </si>
  <si>
    <t>Módulo IEC C14 con interruptor y portafusible</t>
  </si>
  <si>
    <t>Schurter DD12 (familia)</t>
  </si>
  <si>
    <t>Schurter</t>
  </si>
  <si>
    <t>IEC 60320 C14, 10 A / 250 V, interruptor, portafusible 5 × 20 mm, terminal PE</t>
  </si>
  <si>
    <t>Conexión de red, interruptor general y soporte del fusible de entrada</t>
  </si>
  <si>
    <t>RF-20, RF-21; I primario máx. en Calculos §5</t>
  </si>
  <si>
    <t>Chasis</t>
  </si>
  <si>
    <t>https://www.digikey.com/en/products/result?keywords=Schurter%20DD12</t>
  </si>
  <si>
    <t>https://www.snapeda.com/search?q=Schurter%20DD12</t>
  </si>
  <si>
    <t>Familia recomendada — confirmar MPN exacto</t>
  </si>
  <si>
    <t>C-02</t>
  </si>
  <si>
    <t>Protección de entrada</t>
  </si>
  <si>
    <t>Fusible 5 × 20 mm, acción lenta</t>
  </si>
  <si>
    <t>Littelfuse 0215004.MXP</t>
  </si>
  <si>
    <t>Littelfuse</t>
  </si>
  <si>
    <t>T4A, 250 V (≥ I_prim/0,75 — ver Calculos §6)</t>
  </si>
  <si>
    <t>Protege el primario del transformador (1 en uso + 1 repuesto)</t>
  </si>
  <si>
    <t>Calculos §6: fusible ≥ I_primario_max / 0,75</t>
  </si>
  <si>
    <t>https://www.digikey.com/en/products/result?keywords=0215004.MXP</t>
  </si>
  <si>
    <t>https://www.snapeda.com/search?q=0215004.MXP</t>
  </si>
  <si>
    <t>Referencia estándar — validar MPN y stock</t>
  </si>
  <si>
    <t>C-03</t>
  </si>
  <si>
    <t>Varistor (MOV) 14 mm</t>
  </si>
  <si>
    <t>TDK EPCOS S14K150 (B72214S0151K101)</t>
  </si>
  <si>
    <t>TDK / EPCOS</t>
  </si>
  <si>
    <t>150 V AC continuos, disco 14 mm</t>
  </si>
  <si>
    <t>Limita sobretensiones de la red</t>
  </si>
  <si>
    <t>Calculos §6: V_MOV ≥ 1,1 · V_red máx.</t>
  </si>
  <si>
    <t>https://www.digikey.com/en/products/result?keywords=S14K150</t>
  </si>
  <si>
    <t>https://www.snapeda.com/search?q=S14K150</t>
  </si>
  <si>
    <t>C-04</t>
  </si>
  <si>
    <t>Termistor NTC limitador de arranque</t>
  </si>
  <si>
    <t>Ametherm SL32 10015</t>
  </si>
  <si>
    <t>Ametherm</t>
  </si>
  <si>
    <t>10 Ω a 25 °C, 15 A en régimen</t>
  </si>
  <si>
    <t>Limita el pico de arranque del toroidal y de los 30 000 µF</t>
  </si>
  <si>
    <t>Calculos §6: pico ≈ 19 A &lt; 20 A</t>
  </si>
  <si>
    <t>https://www.digikey.com/en/products/result?keywords=SL32%2010015</t>
  </si>
  <si>
    <t>https://www.snapeda.com/search?q=SL32%2010015</t>
  </si>
  <si>
    <t>TRANSFORMADOR AC</t>
  </si>
  <si>
    <t>C-05</t>
  </si>
  <si>
    <t>Transformador toroidal de potencia</t>
  </si>
  <si>
    <t>Antek Inc.</t>
  </si>
  <si>
    <t>400 VA; primario dual 115/230 V, 50/60 Hz; 2 × 20 V / 10 A (en paralelo 20 V / 20 A); pantalla electrostática; aislamiento &gt; 3500 V</t>
  </si>
  <si>
    <t>Reduce y aísla la tensión de red</t>
  </si>
  <si>
    <t>Calculos §5: uso ≈ 74 % con 20 % de margen; AS-3220 (300 VA) queda al límite</t>
  </si>
  <si>
    <t>https://www.antekinc.com/as-4220-400va-20v-transformer/</t>
  </si>
  <si>
    <t>Proporcionar medidas del fabricante (5,1" Ø × 3,1")</t>
  </si>
  <si>
    <t>Verificado en hoja de datos del fabricante</t>
  </si>
  <si>
    <t>RECTIFICACIÓN Y FILTRADO</t>
  </si>
  <si>
    <t>C-06</t>
  </si>
  <si>
    <t>Borne de tornillo para PCB (secundario AC)</t>
  </si>
  <si>
    <t>Phoenix Contact MKDSP 10 (paso 10,16 mm)</t>
  </si>
  <si>
    <t>Phoenix Contact</t>
  </si>
  <si>
    <t>≥ 20 A, 2 posiciones</t>
  </si>
  <si>
    <t>Entrada del secundario del transformador a la PCB</t>
  </si>
  <si>
    <t>Calculos §5: I_sec rms ≈ 15 A</t>
  </si>
  <si>
    <t>PCB</t>
  </si>
  <si>
    <t>https://www.digikey.com/en/products/result?keywords=MKDSP%2010</t>
  </si>
  <si>
    <t>https://www.snapeda.com/search?q=MKDSP%2010</t>
  </si>
  <si>
    <t>C-07</t>
  </si>
  <si>
    <t>Puente rectificador monofásico</t>
  </si>
  <si>
    <t>GBJ3510</t>
  </si>
  <si>
    <t>Diodes Inc.</t>
  </si>
  <si>
    <t>35 A (con disipador), 1000 V, VF 1,1 V @ 17,5 A, IFSM 400 A</t>
  </si>
  <si>
    <t>Rectifica el AC del secundario</t>
  </si>
  <si>
    <t>Calculos §7: I ≥ 2·I_DC, V_RRM ≥ 2·V_pico</t>
  </si>
  <si>
    <t>https://www.diodes.com/assets/Datasheets/GBJ3510.pdf</t>
  </si>
  <si>
    <t>https://www.snapeda.com/search?q=GBJ3510</t>
  </si>
  <si>
    <t>C-08</t>
  </si>
  <si>
    <t>Disipador del puente</t>
  </si>
  <si>
    <t>Perfil de aluminio / fijación al chasis</t>
  </si>
  <si>
    <t>Genérico</t>
  </si>
  <si>
    <t>Rθsa ≤ 3,0 °C/W, con grasa térmica</t>
  </si>
  <si>
    <t>Evacua ≈ 18 W del puente</t>
  </si>
  <si>
    <t>Calculos §7: Rθsa requerido ≈ 3,6 °C/W</t>
  </si>
  <si>
    <t>Chasis / PCB</t>
  </si>
  <si>
    <t>https://www.digikey.com/en/products/result?keywords=heat%20sink%20bridge%20rectifier%20GBJ</t>
  </si>
  <si>
    <t>No aplica</t>
  </si>
  <si>
    <t>Valor definido — validar referencia vigente</t>
  </si>
  <si>
    <t>C-09</t>
  </si>
  <si>
    <t>Capacitor electrolítico snap-in 10 000 µF / 50 V</t>
  </si>
  <si>
    <t>Nichicon</t>
  </si>
  <si>
    <t>10 000 µF, 50 V, 105 °C, 5000 h; verificar corriente de rizado ≥ valor de Calculos §5</t>
  </si>
  <si>
    <t>Forma el bus VIN DC y reduce el rizado</t>
  </si>
  <si>
    <t>Calculos §4: C ≥ 22 900 µF; 3 × 10 000 µF = 30 000 µF</t>
  </si>
  <si>
    <t>https://www.newark.com/c/passive-components/capacitors/aluminium-electrolytic-capacitors?brand=nichicon&amp;capacitance=10000uf</t>
  </si>
  <si>
    <t>https://www.snapeda.com/search?q=LKS1H103MESB</t>
  </si>
  <si>
    <t>Verificado en catálogo (fabricante/distribuidor)</t>
  </si>
  <si>
    <t>C-10</t>
  </si>
  <si>
    <t>Resistor de sangrado 4,7 kΩ / 2 W</t>
  </si>
  <si>
    <t>Genérico (película metálica)</t>
  </si>
  <si>
    <t>Yageo / Vishay</t>
  </si>
  <si>
    <t>4,7 kΩ, 2 W, 1 %</t>
  </si>
  <si>
    <t>Descarga los capacitores al apagar (τ ≈ 141 s)</t>
  </si>
  <si>
    <t>Calculos §8</t>
  </si>
  <si>
    <t>https://www.digikey.com/en/products/result?keywords=4.7k%202W%20resistor</t>
  </si>
  <si>
    <t>PROTECCIÓN DEL BUS DC</t>
  </si>
  <si>
    <t>C-11</t>
  </si>
  <si>
    <t>Protección del bus</t>
  </si>
  <si>
    <t>Fusible ATO 15 A y portafusible para PCB</t>
  </si>
  <si>
    <t>Littelfuse 0287015.PXCN</t>
  </si>
  <si>
    <t>15 A, 32 V, tipo ATO</t>
  </si>
  <si>
    <t>Protege el bus VIN DC (1 en uso + 1 repuesto)</t>
  </si>
  <si>
    <t>Calculos §8: fusible ≥ I_DC/0,75</t>
  </si>
  <si>
    <t>https://www.digikey.com/en/products/result?keywords=0287015.PXCN</t>
  </si>
  <si>
    <t>https://www.snapeda.com/search?q=0287015.PXCN</t>
  </si>
  <si>
    <t>C-12</t>
  </si>
  <si>
    <t>TVS unidireccional 1500 W</t>
  </si>
  <si>
    <t>Littelfuse SMCJ30A</t>
  </si>
  <si>
    <t>Vwm 30 V, Vbr 33,3–36,8 V, Vc 48,4 V</t>
  </si>
  <si>
    <t>Recorta transitorios en el bus</t>
  </si>
  <si>
    <t>Calculos §8: Vbr &gt; V_bus máx.</t>
  </si>
  <si>
    <t>https://www.digikey.com/en/products/result?keywords=SMCJ30A</t>
  </si>
  <si>
    <t>https://www.snapeda.com/search?q=SMCJ30A</t>
  </si>
  <si>
    <t>CONVERTIDORES DC/DC</t>
  </si>
  <si>
    <t>C-13</t>
  </si>
  <si>
    <t>+12 V / 5 A</t>
  </si>
  <si>
    <t>Regulador reductor 5 A, 12 V fijo</t>
  </si>
  <si>
    <t>LM2678T-12/NOPB</t>
  </si>
  <si>
    <t>Texas Instruments</t>
  </si>
  <si>
    <t>Vin 15–40 V, 5 A, 260 kHz, TO-220-7</t>
  </si>
  <si>
    <t>Genera +12 V</t>
  </si>
  <si>
    <t>Hoja Convertidores (columna +12 V)</t>
  </si>
  <si>
    <t>PCB + disipador</t>
  </si>
  <si>
    <t>https://www.ti.com/lit/ds/symlink/lm2678.pdf</t>
  </si>
  <si>
    <t>https://www.ti.com/product/LM2678</t>
  </si>
  <si>
    <t>C-14</t>
  </si>
  <si>
    <t>+5 V / 5 A</t>
  </si>
  <si>
    <t>Regulador reductor 5 A, 5 V fijo</t>
  </si>
  <si>
    <t>LM2678T-5.0/NOPB</t>
  </si>
  <si>
    <t>Vin 8–40 V, 5 A, TO-220-7</t>
  </si>
  <si>
    <t>Genera +5 V</t>
  </si>
  <si>
    <t>Hoja Convertidores (columna +5 V)</t>
  </si>
  <si>
    <t>C-15</t>
  </si>
  <si>
    <t>+3,3 V / 3 A</t>
  </si>
  <si>
    <t>Regulador reductor 5 A, 3,3 V fijo</t>
  </si>
  <si>
    <t>LM2678T-3.3/NOPB</t>
  </si>
  <si>
    <t>Genera +3,3 V</t>
  </si>
  <si>
    <t>Hoja Convertidores (columna +3,3 V)</t>
  </si>
  <si>
    <t>C-16</t>
  </si>
  <si>
    <t>Variable / 3 A</t>
  </si>
  <si>
    <t>Regulador reductor 5 A, ajustable</t>
  </si>
  <si>
    <t>LM2678T-ADJ/NOPB</t>
  </si>
  <si>
    <t>Vout 1,2–37 V, 5 A, TO-220-7</t>
  </si>
  <si>
    <t>Genera la salida variable 1,25–15 V</t>
  </si>
  <si>
    <t>Hoja Convertidores (columna Variable) y Calculos §9</t>
  </si>
  <si>
    <t>C-17</t>
  </si>
  <si>
    <t>−12 V / 1 A</t>
  </si>
  <si>
    <t>Convertidor reductor 60 V / 5 A (en configuración inversora)</t>
  </si>
  <si>
    <t>TPS54560BDDAR</t>
  </si>
  <si>
    <t>Vin 4,5–60 V, 5 A, HSOIC-8 PowerPAD; configuración inversora según §8.3 del datasheet y nota SLVA317</t>
  </si>
  <si>
    <t>Genera −12 V a partir del bus</t>
  </si>
  <si>
    <t>Hoja Convertidores (columna −12 V)</t>
  </si>
  <si>
    <t>https://www.ti.com/lit/ds/symlink/tps54560b.pdf</t>
  </si>
  <si>
    <t>https://www.ti.com/product/TPS54560B</t>
  </si>
  <si>
    <t>C-18</t>
  </si>
  <si>
    <t>+12 V, +5 V, +3,3 V</t>
  </si>
  <si>
    <t>Inductor 22 µH, 5,22 A</t>
  </si>
  <si>
    <t>Renco RL-1283-22-43 (L41)</t>
  </si>
  <si>
    <t>Renco / Pulse</t>
  </si>
  <si>
    <t>22 µH, 5,22 A, núcleo de ferrita, through-hole</t>
  </si>
  <si>
    <t>Filtro de salida de los tres convertidores fijos</t>
  </si>
  <si>
    <t>Hoja Convertidores §4: L ≥ L_mín</t>
  </si>
  <si>
    <t>https://www.snapeda.com/search?q=RL-1283-22-43</t>
  </si>
  <si>
    <t>Verificado en hoja de datos del fabricante (Tabla 7-3 de TI)</t>
  </si>
  <si>
    <t>C-19</t>
  </si>
  <si>
    <t>Variable</t>
  </si>
  <si>
    <t>Inductor 47 µH, 3,57 A</t>
  </si>
  <si>
    <t>Pulse PE-54039 / Renco RL-5472-3 (L39)</t>
  </si>
  <si>
    <t>Pulse / Renco</t>
  </si>
  <si>
    <t>47 µH, 3,57 A, through-hole</t>
  </si>
  <si>
    <t>Filtro de salida de la variable</t>
  </si>
  <si>
    <t>Hoja Convertidores §4</t>
  </si>
  <si>
    <t>https://www.snapeda.com/search?q=PE-54039</t>
  </si>
  <si>
    <t>C-20</t>
  </si>
  <si>
    <t>−12 V</t>
  </si>
  <si>
    <t>Inductor 33 µH, 4,26 A</t>
  </si>
  <si>
    <t>Pulse PE-54040 / Renco RL-1283-33-43 (L40)</t>
  </si>
  <si>
    <t>33 µH, 4,26 A, through-hole</t>
  </si>
  <si>
    <t>Inductor del convertidor inversor</t>
  </si>
  <si>
    <t>Hoja Convertidores §4: I_pico ≈ 1,9 A</t>
  </si>
  <si>
    <t>https://www.snapeda.com/search?q=PE-54040</t>
  </si>
  <si>
    <t>C-21</t>
  </si>
  <si>
    <t>LM2678 (4 salidas)</t>
  </si>
  <si>
    <t>Diodo Schottky 7,5 A / 45 V</t>
  </si>
  <si>
    <t>MBR745</t>
  </si>
  <si>
    <t>onsemi / Vishay</t>
  </si>
  <si>
    <t>7,5 A, 45 V, TO-220</t>
  </si>
  <si>
    <t>Diodo de libre circulación de cada LM2678</t>
  </si>
  <si>
    <t>Hoja Convertidores §8</t>
  </si>
  <si>
    <t>https://www.snapeda.com/search?q=MBR745</t>
  </si>
  <si>
    <t>Verificado en hoja de datos del fabricante (Tabla 7-4 de TI)</t>
  </si>
  <si>
    <t>C-22</t>
  </si>
  <si>
    <t>Diodo Schottky 3 A / 60 V</t>
  </si>
  <si>
    <t>SS36</t>
  </si>
  <si>
    <t>3 A, 60 V, SMA/SMC</t>
  </si>
  <si>
    <t>Diodo del convertidor inversor (V_R = Vin + |Vout|)</t>
  </si>
  <si>
    <t>Hoja Convertidores §8: 60 V ≥ 1,3 · 42,8 V</t>
  </si>
  <si>
    <t>https://www.digikey.com/en/products/result?keywords=SS36</t>
  </si>
  <si>
    <t>https://www.snapeda.com/search?q=SS36</t>
  </si>
  <si>
    <t>C-23</t>
  </si>
  <si>
    <t>Capacitor de entrada 1500 µF / 63 V (low-ESR)</t>
  </si>
  <si>
    <t>Equivalente vigente a Panasonic HFQ C16</t>
  </si>
  <si>
    <t>Panasonic / Nichicon / Rubycon</t>
  </si>
  <si>
    <t>1500 µF, 63 V, Irms ≥ 2,5 A a 100 kHz</t>
  </si>
  <si>
    <t>Capacitor de entrada local de cada LM2678</t>
  </si>
  <si>
    <t>Hoja Convertidores §7</t>
  </si>
  <si>
    <t>https://www.digikey.com/en/products/result?keywords=1500uF%2063V%20low%20ESR</t>
  </si>
  <si>
    <t>Según MPN final</t>
  </si>
  <si>
    <t>C-24</t>
  </si>
  <si>
    <t>+12 V, +5 V, Variable</t>
  </si>
  <si>
    <t>Capacitor de salida 560 µF / 35 V (low-ESR)</t>
  </si>
  <si>
    <t>Equivalente vigente a Panasonic HFQ C5</t>
  </si>
  <si>
    <t>560 µF, 35 V, Irms ≥ 1,4 A</t>
  </si>
  <si>
    <t>1 en +12 V, 1 en +5 V y 2 en la variable</t>
  </si>
  <si>
    <t>Hoja Convertidores §6</t>
  </si>
  <si>
    <t>https://www.digikey.com/en/products/result?keywords=560uF%2035V%20low%20ESR</t>
  </si>
  <si>
    <t>C-25</t>
  </si>
  <si>
    <t>+3,3 V</t>
  </si>
  <si>
    <t>Capacitor de salida 1000 µF / 35 V (low-ESR)</t>
  </si>
  <si>
    <t>Equivalente vigente a Panasonic HFQ C7</t>
  </si>
  <si>
    <t>1000 µF, 35 V, Irms ≥ 1,7 A</t>
  </si>
  <si>
    <t>Filtro de salida de +3,3 V</t>
  </si>
  <si>
    <t>https://www.digikey.com/en/products/result?keywords=1000uF%2035V%20low%20ESR</t>
  </si>
  <si>
    <t>C-26</t>
  </si>
  <si>
    <t>Capacitor de arranque (CBOOST) 10 nF / 50 V cerámico</t>
  </si>
  <si>
    <t>Genérico X7R</t>
  </si>
  <si>
    <t>Murata / Yageo / Samsung</t>
  </si>
  <si>
    <t>10 nF, 50 V, X7R, 0805</t>
  </si>
  <si>
    <t>Excita la compuerta del MOSFET interno</t>
  </si>
  <si>
    <t>Hoja de datos LM2678 §7.1.6</t>
  </si>
  <si>
    <t>https://www.digikey.com/en/products/result?keywords=0.01uF%2050V%20X7R%200805</t>
  </si>
  <si>
    <t>C-27</t>
  </si>
  <si>
    <t>Convertidores</t>
  </si>
  <si>
    <t>Capacitor cerámico de desacople 100 nF / 50 V</t>
  </si>
  <si>
    <t>100 nF, 50 V, X7R, 0805</t>
  </si>
  <si>
    <t>Desacople de alta frecuencia en la entrada de cada convertidor</t>
  </si>
  <si>
    <t>Hoja de datos LM2678 §7.1.4</t>
  </si>
  <si>
    <t>https://www.digikey.com/en/products/result?keywords=0.1uF%2050V%20X7R%200805</t>
  </si>
  <si>
    <t>C-28</t>
  </si>
  <si>
    <t>Potenciómetro multivuelta 10 kΩ</t>
  </si>
  <si>
    <t>Bourns 3590S-2-103L</t>
  </si>
  <si>
    <t>Bourns</t>
  </si>
  <si>
    <t>10 kΩ, 10 vueltas, ±5 %, 2 W</t>
  </si>
  <si>
    <t>Ajuste de la tensión de salida</t>
  </si>
  <si>
    <t>Calculos §9: R2 = Ra + Rpot</t>
  </si>
  <si>
    <t>Panel + cable</t>
  </si>
  <si>
    <t>https://www.digikey.com/en/products/result?keywords=3590S-2-103L</t>
  </si>
  <si>
    <t>https://www.snapeda.com/search?q=3590S-2-103L</t>
  </si>
  <si>
    <t>C-29</t>
  </si>
  <si>
    <t>Resistor 887 Ω, 1 % (R1)</t>
  </si>
  <si>
    <t>Genérico E96</t>
  </si>
  <si>
    <t>887 Ω, 1 %, 0,25 W</t>
  </si>
  <si>
    <t>Resistor inferior del divisor de realimentación</t>
  </si>
  <si>
    <t>Calculos §9</t>
  </si>
  <si>
    <t>https://www.digikey.com/en/products/result?keywords=887%20ohm%201%%20resistor</t>
  </si>
  <si>
    <t>C-30</t>
  </si>
  <si>
    <t>Resistor 28,7 Ω, 1 % (Ra)</t>
  </si>
  <si>
    <t>28,7 Ω, 1 %, 0,25 W</t>
  </si>
  <si>
    <t>Fija la tensión mínima de 1,25 V</t>
  </si>
  <si>
    <t>https://www.digikey.com/en/products/result?keywords=28.7%20ohm%201%%20resistor</t>
  </si>
  <si>
    <t>C-31</t>
  </si>
  <si>
    <t>Divisor de realimentación</t>
  </si>
  <si>
    <t>Resistores E96, 1 %: 140 kΩ y 10 kΩ</t>
  </si>
  <si>
    <t>R_sup = R_inf · (|Vo|/0,8 − 1) = 140 kΩ; R_inf = 10 kΩ</t>
  </si>
  <si>
    <t>Fija la salida del inversor en −12 V</t>
  </si>
  <si>
    <t>Fórmula: R_sup = R_inf·(|Vo|/VFB − 1), VFB = 0,8 V</t>
  </si>
  <si>
    <t>https://www.digikey.com/en/products/result?keywords=140k%201%%20resistor</t>
  </si>
  <si>
    <t>C-32</t>
  </si>
  <si>
    <t>Pasivos de soporte del TPS54560B</t>
  </si>
  <si>
    <t>Cin 100 µF/63 V + 2 × 4,7 µF/100 V X7R; Cout 100 µF/25 V + 2 × 10 µF/25 V X7R; CBOOST 100 nF; RT, CSS, compensación y UVLO</t>
  </si>
  <si>
    <t>Varios</t>
  </si>
  <si>
    <t>Valores finales de RT/CSS/compensación se fijan con WEBENCH y SLVA317 al dibujar el esquemático</t>
  </si>
  <si>
    <t>Completan el convertidor inversor</t>
  </si>
  <si>
    <t>Hoja Convertidores §6–§7</t>
  </si>
  <si>
    <t>Definido; valores finales en esquemático</t>
  </si>
  <si>
    <t>C-33</t>
  </si>
  <si>
    <t>Disipador para TO-220</t>
  </si>
  <si>
    <t>Disipador estándar TO-220</t>
  </si>
  <si>
    <t>Aavid / Wakefield</t>
  </si>
  <si>
    <t>Rθsa ≤ 12 °C/W, con tornillo y grasa térmica</t>
  </si>
  <si>
    <t>Evacua el calor de cada LM2678</t>
  </si>
  <si>
    <t>Hoja Convertidores §9</t>
  </si>
  <si>
    <t>https://www.digikey.com/en/products/result?keywords=heat%20sink%20TO-220%2012%20C/W</t>
  </si>
  <si>
    <t>PROTECCIONES POR SALIDA Y BORNES</t>
  </si>
  <si>
    <t>C-34</t>
  </si>
  <si>
    <t>+12 V y +5 V</t>
  </si>
  <si>
    <t>PTC reiniciable 7 A (retención) / 14 A (disparo)</t>
  </si>
  <si>
    <t>Bourns MF-R700</t>
  </si>
  <si>
    <t>7 A hold, 14 A trip, 30 V, radial</t>
  </si>
  <si>
    <t>Protección de sobrecorriente por salida</t>
  </si>
  <si>
    <t>Hoja Convertidores §10</t>
  </si>
  <si>
    <t>https://www.bourns.com/docs/product-datasheets/mf-r.pdf</t>
  </si>
  <si>
    <t>https://www.digikey.com/en/products/result?keywords=MF-R700</t>
  </si>
  <si>
    <t>C-35</t>
  </si>
  <si>
    <t>+3,3 V y Variable</t>
  </si>
  <si>
    <t>PTC reiniciable 5 A / 10 A</t>
  </si>
  <si>
    <t>Bourns MF-R500</t>
  </si>
  <si>
    <t>5 A hold, 10 A trip, radial</t>
  </si>
  <si>
    <t>https://www.digikey.com/en/products/result?keywords=MF-R500</t>
  </si>
  <si>
    <t>C-36</t>
  </si>
  <si>
    <t>PTC reiniciable 1,6 A / 3,2 A</t>
  </si>
  <si>
    <t>Bourns MF-R160</t>
  </si>
  <si>
    <t>1,6 A hold, radial</t>
  </si>
  <si>
    <t>Protección de sobrecorriente de −12 V</t>
  </si>
  <si>
    <t>https://www.digikey.com/en/products/result?keywords=MF-R160</t>
  </si>
  <si>
    <t>C-37</t>
  </si>
  <si>
    <t>+12 V</t>
  </si>
  <si>
    <t>TVS 1500 W</t>
  </si>
  <si>
    <t>SMCJ13A</t>
  </si>
  <si>
    <t>Vwm 13 V, Vc 21,5 V</t>
  </si>
  <si>
    <t>Sujeción de sobretensión en +12 V</t>
  </si>
  <si>
    <t>https://www.digikey.com/en/products/result?keywords=SMCJ13A</t>
  </si>
  <si>
    <t>https://www.snapeda.com/search?q=SMCJ13A</t>
  </si>
  <si>
    <t>C-38</t>
  </si>
  <si>
    <t>+5 V</t>
  </si>
  <si>
    <t>SMCJ6.0A</t>
  </si>
  <si>
    <t>Vwm 6 V, Vc 10,3 V</t>
  </si>
  <si>
    <t>Sujeción de sobretensión en +5 V</t>
  </si>
  <si>
    <t>https://www.digikey.com/en/products/result?keywords=SMCJ6.0A</t>
  </si>
  <si>
    <t>https://www.snapeda.com/search?q=SMCJ6.0A</t>
  </si>
  <si>
    <t>C-39</t>
  </si>
  <si>
    <t>Diodo Zener 5 W</t>
  </si>
  <si>
    <t>1N5335B</t>
  </si>
  <si>
    <t>onsemi / Microsemi</t>
  </si>
  <si>
    <t>3,9 V, 5 W</t>
  </si>
  <si>
    <t>Sujeción de sobretensión en +3,3 V (no existe TVS de 1500 W con Vwm 3,3 V)</t>
  </si>
  <si>
    <t>https://www.digikey.com/en/products/result?keywords=1N5335B</t>
  </si>
  <si>
    <t>https://www.snapeda.com/search?q=1N5335B</t>
  </si>
  <si>
    <t>C-40</t>
  </si>
  <si>
    <t>TVS bidireccional 1500 W</t>
  </si>
  <si>
    <t>SMCJ13CA</t>
  </si>
  <si>
    <t>Vwm ±13 V</t>
  </si>
  <si>
    <t>Sujeción en −12 V</t>
  </si>
  <si>
    <t>https://www.digikey.com/en/products/result?keywords=SMCJ13CA</t>
  </si>
  <si>
    <t>https://www.snapeda.com/search?q=SMCJ13CA</t>
  </si>
  <si>
    <t>C-41</t>
  </si>
  <si>
    <t>SMCJ16A</t>
  </si>
  <si>
    <t>Vwm 16 V, Vc 26 V</t>
  </si>
  <si>
    <t>Sujeción en la variable (hasta 15 V)</t>
  </si>
  <si>
    <t>https://www.digikey.com/en/products/result?keywords=SMCJ16A</t>
  </si>
  <si>
    <t>https://www.snapeda.com/search?q=SMCJ16A</t>
  </si>
  <si>
    <t>C-42</t>
  </si>
  <si>
    <t>Bornes de salida</t>
  </si>
  <si>
    <t>Binding post rojo (positivo)</t>
  </si>
  <si>
    <t>Pomona 3770-2</t>
  </si>
  <si>
    <t>Pomona</t>
  </si>
  <si>
    <t>15 A, 2,5 kV, montaje en panel</t>
  </si>
  <si>
    <t>Un borne positivo por salida</t>
  </si>
  <si>
    <t>https://www.newark.com/pomona/3770-2/binding-post-15a-turret-red/dp/78B1723</t>
  </si>
  <si>
    <t>https://www.snapeda.com/search?q=3770-2</t>
  </si>
  <si>
    <t>C-43</t>
  </si>
  <si>
    <t>Binding post negro (GND)</t>
  </si>
  <si>
    <t>Pomona 3770-0</t>
  </si>
  <si>
    <t>Bornes de GND común</t>
  </si>
  <si>
    <t>RF-17, RF-24</t>
  </si>
  <si>
    <t>https://www.newark.com/pomona/3770-0/binding-post-turret-15a-black/dp/78Y6926</t>
  </si>
  <si>
    <t>https://www.snapeda.com/search?q=3770-0</t>
  </si>
  <si>
    <t>C-44</t>
  </si>
  <si>
    <t>Borne de tornillo para PCB (salidas)</t>
  </si>
  <si>
    <t>≥ 20 A, 7 posiciones (5 salidas + 2 GND)</t>
  </si>
  <si>
    <t>Conexión de las salidas de la PCB a los bornes del panel</t>
  </si>
  <si>
    <t>Calculos §11: pistas de 5 A</t>
  </si>
  <si>
    <t>Total de líneas de componentes:</t>
  </si>
  <si>
    <t>Nota: «Verificado en hoja de datos» = parámetros comprobados contra el documento del fabricante. «Referencia estándar / familia recomendada» = valores calculados y validados, pero el MPN exacto y el stock se confirman en DigiKey/Mouser antes de comprar.</t>
  </si>
  <si>
    <t>Cálculos de diseño — Fuente de alimentación multisalida</t>
  </si>
  <si>
    <t>Todas las cifras se recalculan a partir de las celdas azules (entradas / supuestos). Celdas en negro = fórmulas. Cada fila indica la fórmula usada y su fuente. El detalle por convertidor está en la hoja «Convertidores».</t>
  </si>
  <si>
    <t>Fórmula / fundamento</t>
  </si>
  <si>
    <t>Fuente / nota</t>
  </si>
  <si>
    <t>1. SUPUESTOS GENERALES Y DATOS DE LA RED</t>
  </si>
  <si>
    <t>Red monofásica de Colombia (120 V / 60 Hz).</t>
  </si>
  <si>
    <t>Supuesto — confirmar con el docente</t>
  </si>
  <si>
    <t>Red de Colombia.</t>
  </si>
  <si>
    <t>Variación admisible de la red</t>
  </si>
  <si>
    <t>Se diseña para −10 % / +10 % de la tensión nominal.</t>
  </si>
  <si>
    <t>Tensión de red mínima</t>
  </si>
  <si>
    <t>V_red·(1 − tol)</t>
  </si>
  <si>
    <t>Tensión de red máxima</t>
  </si>
  <si>
    <t>V_red·(1 + tol)</t>
  </si>
  <si>
    <t>Temperatura ambiente interna del gabinete</t>
  </si>
  <si>
    <t>Peor caso dentro de la caja cerrada.</t>
  </si>
  <si>
    <t>Temperatura de unión máxima de diseño</t>
  </si>
  <si>
    <t>Límite de operación de los convertidores.</t>
  </si>
  <si>
    <t>Hoja de datos LM2678 (TI, SNVS029L) §5.3</t>
  </si>
  <si>
    <t>±2 % a 25 °C y ±3 % en todo el rango de temperatura (LM2678 fijas).</t>
  </si>
  <si>
    <t>Hoja de datos LM2678 (TI, SNVS029L) §5.5–5.7</t>
  </si>
  <si>
    <t>Rizado máximo de salida (pico a pico)</t>
  </si>
  <si>
    <t>Criterio del fabricante: rizado ≤ 1 % de Vout.</t>
  </si>
  <si>
    <t>Hoja de datos LM2678 (TI, SNVS029L) §7.1.3</t>
  </si>
  <si>
    <t>Rizado máximo de corriente en el inductor</t>
  </si>
  <si>
    <t>× Iout</t>
  </si>
  <si>
    <t>El inductor se elige para ΔI_L ≤ 30 % de la corriente máxima.</t>
  </si>
  <si>
    <t>Hoja de datos LM2678 (TI, SNVS029L) §7.1.2</t>
  </si>
  <si>
    <t>Factor de reducción de corriente de retención del PTC</t>
  </si>
  <si>
    <t>Corriente de retención disminuye con la temperatura (≈50–60 °C dentro del gabinete).</t>
  </si>
  <si>
    <t>Supuesto — verificar curva de derating Bourns MF-R</t>
  </si>
  <si>
    <t>Margen sobre la corriente máxima de salida (PTC)</t>
  </si>
  <si>
    <t>La retención derateada debe superar 1,05 × Imax.</t>
  </si>
  <si>
    <t>Factor de uso de fusibles</t>
  </si>
  <si>
    <t>Un fusible no debe operar de forma continua por encima del 75 % de su corriente nominal.</t>
  </si>
  <si>
    <t>Práctica de diseño (hojas de datos de fusibles)</t>
  </si>
  <si>
    <t>2. POTENCIA TOTAL (resumen; el detalle por salida está en la hoja Convertidores)</t>
  </si>
  <si>
    <t>Potencia máxima total de salida (dato del docente)</t>
  </si>
  <si>
    <t>Suma de V·I máximos de las cinco salidas.</t>
  </si>
  <si>
    <t>Documento del proyecto (PDF) Tabla 3</t>
  </si>
  <si>
    <t>Potencia total de salida (recalculada)</t>
  </si>
  <si>
    <t>Σ |Vout|·Iout</t>
  </si>
  <si>
    <t>Hoja Convertidores</t>
  </si>
  <si>
    <t>Coincidencia con el dato del docente</t>
  </si>
  <si>
    <t>Debe ser igual a 151,9 W.</t>
  </si>
  <si>
    <t>Potencia de entrada al bus VIN DC (con pérdidas de los convertidores)</t>
  </si>
  <si>
    <t>Σ Pout / η de cada convertidor</t>
  </si>
  <si>
    <t>Eficiencia combinada de la etapa DC/DC</t>
  </si>
  <si>
    <t>P_out_total / P_in_DC</t>
  </si>
  <si>
    <t>3. TRANSFORMADOR SELECCIONADO — DATOS DE LA HOJA DE DATOS</t>
  </si>
  <si>
    <t>Modelo</t>
  </si>
  <si>
    <t>Antek AS-4220 (toroidal, con pantalla electrostática)</t>
  </si>
  <si>
    <t>Selección justificada en las secciones 4 y 5.</t>
  </si>
  <si>
    <t>Hoja de datos Antek AS-4220</t>
  </si>
  <si>
    <t>Potencia nominal</t>
  </si>
  <si>
    <t>Dato del fabricante.</t>
  </si>
  <si>
    <t>Tensión nominal de cada secundario</t>
  </si>
  <si>
    <t>Dos secundarios idénticos de 20 V.</t>
  </si>
  <si>
    <t>Corriente nominal de cada secundario</t>
  </si>
  <si>
    <t>Dato del fabricante (2 × 10 A).</t>
  </si>
  <si>
    <t>Número de secundarios conectados en paralelo</t>
  </si>
  <si>
    <t>Los dos devanados se conectan en paralelo y en fase para 20 V / 20 A.</t>
  </si>
  <si>
    <t>Decisión de diseño (verificar fase con multímetro)</t>
  </si>
  <si>
    <t>Corriente nominal con secundarios en paralelo</t>
  </si>
  <si>
    <t>I_cada · N</t>
  </si>
  <si>
    <t>Tensión del secundario en vacío (red 120 V, 60 Hz)</t>
  </si>
  <si>
    <t>Medida en la prueba de carga del fabricante.</t>
  </si>
  <si>
    <t>Hoja de datos Antek AS-4220 (tabla de pruebas)</t>
  </si>
  <si>
    <t>Tensión del secundario a plena carga (18,6 A)</t>
  </si>
  <si>
    <t>Corriente de la prueba de plena carga</t>
  </si>
  <si>
    <t>Corriente a la que se midieron los 19,8 V.</t>
  </si>
  <si>
    <t>Regulación del transformador</t>
  </si>
  <si>
    <t>%</t>
  </si>
  <si>
    <t>(V_vacío − V_carga) / V_carga</t>
  </si>
  <si>
    <t>Eficiencia del transformador</t>
  </si>
  <si>
    <t>Valor típico de toroidales de 300–500 VA.</t>
  </si>
  <si>
    <t>Aislamiento primario–secundario (prueba dieléctrica)</t>
  </si>
  <si>
    <t>Aislamiento galvánico entre red y salidas.</t>
  </si>
  <si>
    <t>4. BUS VIN DC: RECTIFICACIÓN Y FILTRADO</t>
  </si>
  <si>
    <t>Caída directa por diodo del puente (con corriente de pico)</t>
  </si>
  <si>
    <t>VF = 1,1 V a 17,5 A.</t>
  </si>
  <si>
    <t>Hoja de datos GBJ3510 (Diodes Inc.)</t>
  </si>
  <si>
    <t>Caída directa por diodo con poca corriente (sin carga)</t>
  </si>
  <si>
    <t>Valor típico a corriente baja.</t>
  </si>
  <si>
    <t>Rizado admisible del bus (pico a pico, peor caso)</t>
  </si>
  <si>
    <t>Define la capacitancia mínima del filtro.</t>
  </si>
  <si>
    <t>Decisión de diseño (dato pendiente del PDF)</t>
  </si>
  <si>
    <t>Tensión del secundario con red −10 % y plena carga</t>
  </si>
  <si>
    <t>V_plena_carga · (1 − tol)</t>
  </si>
  <si>
    <t>Peor caso para el mínimo del bus</t>
  </si>
  <si>
    <t>Tensión de pico del secundario (red −10 %)</t>
  </si>
  <si>
    <t>V_rms · √2</t>
  </si>
  <si>
    <t>Pico del bus tras el puente (red −10 %)</t>
  </si>
  <si>
    <t>V_pico − 2·VF (conducen dos diodos)</t>
  </si>
  <si>
    <t>Tensión media estimada del bus (red −10 %)</t>
  </si>
  <si>
    <t>V_pico_DC − ΔV/2</t>
  </si>
  <si>
    <t>Corriente DC máxima del bus (peor caso)</t>
  </si>
  <si>
    <t>I = P_in_DC / V_media</t>
  </si>
  <si>
    <t>Capacitancia mínima requerida del filtro</t>
  </si>
  <si>
    <t>C = I / (2·f·ΔV) (rectificación de onda completa)</t>
  </si>
  <si>
    <t>Fórmula estándar de filtro capacitivo</t>
  </si>
  <si>
    <t>Capacitor elegido (unitario)</t>
  </si>
  <si>
    <t>Electrolítico snap-in 50 V.</t>
  </si>
  <si>
    <t>Número de capacitores en paralelo</t>
  </si>
  <si>
    <t>Para repartir la corriente de rizado.</t>
  </si>
  <si>
    <t>C_unit · N</t>
  </si>
  <si>
    <t>Capacitancia suficiente</t>
  </si>
  <si>
    <t>C_total ≥ C_requerida</t>
  </si>
  <si>
    <t>ΔV = I / (2·f·C)</t>
  </si>
  <si>
    <t>Tensión MÍNIMA del bus VIN DC (peor caso)</t>
  </si>
  <si>
    <t>Pico DC − rizado (red −10 %, plena carga, valle del rizado)</t>
  </si>
  <si>
    <t>Tensión máxima de la salida variable</t>
  </si>
  <si>
    <t>Límite superior de la salida ajustable.</t>
  </si>
  <si>
    <t>Documento del proyecto (PDF) Tabla 1</t>
  </si>
  <si>
    <t>Caída del diodo Schottky (referencia)</t>
  </si>
  <si>
    <t>Valor típico del fabricante.</t>
  </si>
  <si>
    <t>Hoja de datos LM2678 (TI, SNVS029L) §7.2.3</t>
  </si>
  <si>
    <t>Ciclo de trabajo máximo del LM2678</t>
  </si>
  <si>
    <t>Limita la relación Vout/Vin mínima.</t>
  </si>
  <si>
    <t>Hoja de datos LM2678 (TI, SNVS029L) §5.9</t>
  </si>
  <si>
    <t>Bus mínimo para que la salida variable alcance 15 V</t>
  </si>
  <si>
    <t>Vin = (Vout + Vd)/Dmax + Vsat − Vd</t>
  </si>
  <si>
    <t>Entrada mínima del LM2678-12</t>
  </si>
  <si>
    <t>La versión de 12 V exige Vin ≥ 15 V.</t>
  </si>
  <si>
    <t>Hoja de datos LM2678 (TI, SNVS029L) §5.7</t>
  </si>
  <si>
    <t>Margen adicional sobre el mínimo del bus</t>
  </si>
  <si>
    <t>Colchón para tolerancias de componentes.</t>
  </si>
  <si>
    <t>Tensión mínima REQUERIDA del bus VIN DC</t>
  </si>
  <si>
    <t>máx(Vin_var, 15 V) + margen</t>
  </si>
  <si>
    <t>Dato pendiente del PDF</t>
  </si>
  <si>
    <t>El bus cumple el mínimo requerido</t>
  </si>
  <si>
    <t>V_bus_min ≥ V_requerida</t>
  </si>
  <si>
    <t>Tensión del secundario en vacío con red +10 %</t>
  </si>
  <si>
    <t>V_vacío · (1 + tol)</t>
  </si>
  <si>
    <t>Peor caso para el máximo del bus</t>
  </si>
  <si>
    <t>Tensión de pico del secundario (red +10 %, vacío)</t>
  </si>
  <si>
    <t>Tensión MÁXIMA del bus VIN DC (peor caso)</t>
  </si>
  <si>
    <t>Pico − 2·VF (red +10 %, sin carga)</t>
  </si>
  <si>
    <t>Entrada máxima recomendada de los LM2678</t>
  </si>
  <si>
    <t>Rango de operación 8–40 V (máx. absoluto 45 V).</t>
  </si>
  <si>
    <t>Hoja de datos LM2678 (TI, SNVS029L) §5.1 y §5.3</t>
  </si>
  <si>
    <t>El bus no supera el límite de los convertidores</t>
  </si>
  <si>
    <t>V_bus_max ≤ 40 V</t>
  </si>
  <si>
    <t>Margen respecto a los 40 V</t>
  </si>
  <si>
    <t>1 − V_max/40</t>
  </si>
  <si>
    <t>Tensión nominal de los capacitores del bus</t>
  </si>
  <si>
    <t>Electrolíticos de 50 V.</t>
  </si>
  <si>
    <t>Relación tensión nominal / tensión máxima del bus</t>
  </si>
  <si>
    <t>Debe ser ≥ 1,25</t>
  </si>
  <si>
    <t>Capacitores con margen de tensión</t>
  </si>
  <si>
    <t>Relación ≥ 1,25</t>
  </si>
  <si>
    <t>Tensión media del bus en condiciones nominales (red 120 V, plena carga)</t>
  </si>
  <si>
    <t>V_pico − 2·VF − ΔV/2</t>
  </si>
  <si>
    <t>Solo informativo</t>
  </si>
  <si>
    <t>5. DIMENSIONAMIENTO DEL TRANSFORMADOR (¿cuál elegir?)</t>
  </si>
  <si>
    <t>Factor corriente RMS del secundario / corriente DC</t>
  </si>
  <si>
    <t>En puente con filtro capacitivo la corriente RMS del secundario es ≈1,6–2,0 × I_DC.</t>
  </si>
  <si>
    <t>Regla práctica de diseño de fuentes lineales</t>
  </si>
  <si>
    <t>Corriente RMS del secundario (peor caso)</t>
  </si>
  <si>
    <t>I_sec = k · I_DC_max</t>
  </si>
  <si>
    <t>Potencia aparente que debe entregar el secundario</t>
  </si>
  <si>
    <t>S = V_secundario · I_sec</t>
  </si>
  <si>
    <t>Margen de seguridad de potencia</t>
  </si>
  <si>
    <t>Evita operar el transformador al límite.</t>
  </si>
  <si>
    <t>Potencia mínima del transformador</t>
  </si>
  <si>
    <t>S_req = S · (1 + margen)</t>
  </si>
  <si>
    <t>Uso del Antek AS-3220 (300 VA, 2 × 20 V / 7,5 A)</t>
  </si>
  <si>
    <t>I_sec / I_nominal_paralelo</t>
  </si>
  <si>
    <t>Antek AS-3220</t>
  </si>
  <si>
    <t>AS-3220 con 20 % de margen</t>
  </si>
  <si>
    <t>Uso ≤ 83 %</t>
  </si>
  <si>
    <t>Uso del Antek AS-4220 (400 VA, 2 × 20 V / 10 A)  ← SELECCIONADO</t>
  </si>
  <si>
    <t>AS-4220 con 20 % de margen</t>
  </si>
  <si>
    <t>Uso del Antek AN-5220 (500 VA, 2 × 20 V / 12,5 A)</t>
  </si>
  <si>
    <t>Antek AN-5220</t>
  </si>
  <si>
    <t>AN-5220 con 20 % de margen</t>
  </si>
  <si>
    <t>Uso ≤ 83 % (sobredimensionado, más caro y pesado)</t>
  </si>
  <si>
    <t>Corriente de rizado RMS total en los capacitores del bus</t>
  </si>
  <si>
    <t>√(I_sec² − I_DC²)</t>
  </si>
  <si>
    <t>Corriente de rizado por capacitor (verificar contra hoja de datos)</t>
  </si>
  <si>
    <t>Debe ser ≤ corriente de rizado nominal del capacitor a 120 Hz / 105 °C</t>
  </si>
  <si>
    <t>Validar en hoja de datos LKS1H103MESB</t>
  </si>
  <si>
    <t>Corriente DC del bus en condiciones nominales</t>
  </si>
  <si>
    <t>P_in_DC / V_bus_nom</t>
  </si>
  <si>
    <t>Potencia aparente del secundario en condiciones nominales</t>
  </si>
  <si>
    <t>V · k · I_DC</t>
  </si>
  <si>
    <t>Potencia aparente del primario en condiciones nominales</t>
  </si>
  <si>
    <t>S_sec / η_trafo</t>
  </si>
  <si>
    <t>Corriente del primario en condiciones nominales</t>
  </si>
  <si>
    <t>S_prim / V_red</t>
  </si>
  <si>
    <t>Potencia aparente del secundario con red −10 %</t>
  </si>
  <si>
    <t>V_sec_ll · I_sec</t>
  </si>
  <si>
    <t>Corriente máxima del primario (red −10 %, plena carga)</t>
  </si>
  <si>
    <t>S_sec_ll / η / V_red_min</t>
  </si>
  <si>
    <t>6. PROTECCIÓN DE ENTRADA (antes del transformador)</t>
  </si>
  <si>
    <t>Corriente nominal mínima del fusible de entrada</t>
  </si>
  <si>
    <t>I_primario_max / 0,75</t>
  </si>
  <si>
    <t>Fusible de entrada seleccionado (acción lenta, 250 V)</t>
  </si>
  <si>
    <t>T4A: soporta el arranque del toroidal y el funcionamiento normal.</t>
  </si>
  <si>
    <t>Valor estándar de fusible</t>
  </si>
  <si>
    <t>Fusible de entrada adecuado</t>
  </si>
  <si>
    <t>I_fusible ≥ I_requerida</t>
  </si>
  <si>
    <t>NTC limitador de corriente de arranque (resistencia a 25 °C)</t>
  </si>
  <si>
    <t>Ω</t>
  </si>
  <si>
    <t>Limita el pico de arranque del toroidal y de los 30 000 µF.</t>
  </si>
  <si>
    <t>Corriente máxima en régimen del NTC</t>
  </si>
  <si>
    <t>Pico de arranque máximo admisible</t>
  </si>
  <si>
    <t>Para no fundir el fusible T4A en el encendido.</t>
  </si>
  <si>
    <t>Pico de arranque estimado (NTC frío, red +10 %)</t>
  </si>
  <si>
    <t>V_pico_red / R_NTC</t>
  </si>
  <si>
    <t>Arranque controlado</t>
  </si>
  <si>
    <t>I_pico ≤ 20 A e I_NTC ≥ I_primario</t>
  </si>
  <si>
    <t>Varistor (MOV) — tensión AC continua máxima</t>
  </si>
  <si>
    <t>Debe superar la red máxima con margen.</t>
  </si>
  <si>
    <t>TDK EPCOS S14K150</t>
  </si>
  <si>
    <t>Varistor adecuado</t>
  </si>
  <si>
    <t>V_MOV ≥ 1,1 · V_red_max</t>
  </si>
  <si>
    <t>7. PUENTE RECTIFICADOR</t>
  </si>
  <si>
    <t>Corriente media nominal del puente (con disipador)</t>
  </si>
  <si>
    <t>GBJ3510.</t>
  </si>
  <si>
    <t>Corriente de sobrecarga no repetitiva</t>
  </si>
  <si>
    <t>Para el arranque con capacitores descargados.</t>
  </si>
  <si>
    <t>Tensión inversa repetitiva</t>
  </si>
  <si>
    <t>Resistencia térmica unión–cápsula</t>
  </si>
  <si>
    <t>GBJ35005–3510.</t>
  </si>
  <si>
    <t>Hoja de datos GBJ35xx (Mouser)</t>
  </si>
  <si>
    <t>Resistencia térmica cápsula–disipador (con grasa)</t>
  </si>
  <si>
    <t>Valor típico.</t>
  </si>
  <si>
    <t>Corriente media mínima del puente</t>
  </si>
  <si>
    <t>2 · I_DC (cubre picos de conducción)</t>
  </si>
  <si>
    <t>Regla práctica</t>
  </si>
  <si>
    <t>Puente con corriente suficiente</t>
  </si>
  <si>
    <t>I_puente ≥ 2·I_DC</t>
  </si>
  <si>
    <t>Tensión inversa mínima requerida</t>
  </si>
  <si>
    <t>2 · V_pico_max</t>
  </si>
  <si>
    <t>Puente con tensión inversa suficiente</t>
  </si>
  <si>
    <t>V_RRM ≥ 2·V_pico</t>
  </si>
  <si>
    <t>Potencia disipada en el puente</t>
  </si>
  <si>
    <t>P = 2 · VF · I_DC</t>
  </si>
  <si>
    <t>Resistencia térmica máxima del disipador del puente</t>
  </si>
  <si>
    <t>Rθsa ≤ (Tj − Tamb)/P − Rθjc − Rθcs</t>
  </si>
  <si>
    <t>Disipador seleccionado para el puente</t>
  </si>
  <si>
    <t>Perfil de aluminio o fijación al chasis metálico.</t>
  </si>
  <si>
    <t>Disipador del puente adecuado</t>
  </si>
  <si>
    <t>Rθsa_sel ≤ Rθsa_requerido</t>
  </si>
  <si>
    <t>8. PROTECCIÓN Y DESCARGA DEL BUS VIN DC</t>
  </si>
  <si>
    <t>Corriente nominal mínima del fusible del bus</t>
  </si>
  <si>
    <t>I_DC_max / 0,75</t>
  </si>
  <si>
    <t>Fusible del bus seleccionado (tipo ATO)</t>
  </si>
  <si>
    <t>Valor estándar inmediatamente superior.</t>
  </si>
  <si>
    <t>Littelfuse serie 287 (ATO)</t>
  </si>
  <si>
    <t>Fusible del bus adecuado</t>
  </si>
  <si>
    <t>TVS del bus (SMCJ30A) — tensión de ruptura mínima</t>
  </si>
  <si>
    <t>No debe conducir con el bus en su máximo.</t>
  </si>
  <si>
    <t>Hoja de datos serie SMCJ (validar)</t>
  </si>
  <si>
    <t>TVS del bus (SMCJ30A) — tensión de sujeción máxima</t>
  </si>
  <si>
    <t>Recorta transitorios.</t>
  </si>
  <si>
    <t>TVS no conduce en operación normal</t>
  </si>
  <si>
    <t>V_ruptura_min &gt; V_bus_max</t>
  </si>
  <si>
    <t>Resistor de sangrado del bus</t>
  </si>
  <si>
    <t>Descarga lenta de los capacitores al apagar.</t>
  </si>
  <si>
    <t>Constante de tiempo de descarga</t>
  </si>
  <si>
    <t>s</t>
  </si>
  <si>
    <t>τ = R · C</t>
  </si>
  <si>
    <t>Potencia en el resistor de sangrado (bus máximo)</t>
  </si>
  <si>
    <t>P = V² / R (usar resistor de 2 W)</t>
  </si>
  <si>
    <t>9. SALIDA VARIABLE 1,25–15 V (LM2678-ADJ)</t>
  </si>
  <si>
    <t>Tensión de referencia de realimentación</t>
  </si>
  <si>
    <t>VFB típica.</t>
  </si>
  <si>
    <t>Hoja de datos LM2678 (TI, SNVS029L) §5.8</t>
  </si>
  <si>
    <t>Tolerancia de VFB a 25 °C</t>
  </si>
  <si>
    <t>1,186–1,234 V.</t>
  </si>
  <si>
    <t>R1 (resistor inferior del divisor)</t>
  </si>
  <si>
    <t>Valor de serie E96, 1 %.</t>
  </si>
  <si>
    <t>Decisión de diseño (R1 recomendado ≈1 kΩ)</t>
  </si>
  <si>
    <t>Ra (resistor fijo en serie con el potenciómetro)</t>
  </si>
  <si>
    <t>Fija el mínimo en ≈1,25 V. Serie E96, 1 %.</t>
  </si>
  <si>
    <t>Potenciómetro multivuelta</t>
  </si>
  <si>
    <t>Bourns 3590S-2-103L (10 kΩ, 10 vueltas).</t>
  </si>
  <si>
    <t>Tensión de salida mínima</t>
  </si>
  <si>
    <t>Vout = VFB · (1 + R2/R1), con R2 = Ra</t>
  </si>
  <si>
    <t>Tensión de salida máxima (nominal)</t>
  </si>
  <si>
    <t>Vout = VFB · (1 + R2/R1), con R2 = Ra + Rpot</t>
  </si>
  <si>
    <t>Tensión máxima con VFB en +2 %</t>
  </si>
  <si>
    <t>Peor caso por tolerancia de VFB</t>
  </si>
  <si>
    <t>Ajustar con voltímetro hasta 15,0 V</t>
  </si>
  <si>
    <t>R2 teórico para exactamente 15 V</t>
  </si>
  <si>
    <t>R2 = R1·(Vout/VFB − 1)</t>
  </si>
  <si>
    <t>Ciclo de trabajo mínimo a Vout = 1,25 V (bus máximo)</t>
  </si>
  <si>
    <t>D = (Vout + Vd)/(Vin − Vsat + Vd)</t>
  </si>
  <si>
    <t>A ciclos muy bajos el IC puede omitir pulsos (rizado mayor)</t>
  </si>
  <si>
    <t>10. EFICIENCIA Y POTENCIA DESDE LA RED</t>
  </si>
  <si>
    <t>Potencia activa tomada de la red a plena carga</t>
  </si>
  <si>
    <t>(P_in_DC + P_puente) / η_trafo</t>
  </si>
  <si>
    <t>P_salidas / P_red</t>
  </si>
  <si>
    <t>Eficiencia objetivo mínima (total)</t>
  </si>
  <si>
    <t>Objetivo realista para una fuente con transformador y conversión DC/DC.</t>
  </si>
  <si>
    <t>Eficiencia total cumple el objetivo</t>
  </si>
  <si>
    <t>η_total ≥ objetivo</t>
  </si>
  <si>
    <t>Calor total a disipar en el gabinete</t>
  </si>
  <si>
    <t>P_red − P_salidas</t>
  </si>
  <si>
    <t>Dimensionar ventilación</t>
  </si>
  <si>
    <t>Factor de potencia aproximado</t>
  </si>
  <si>
    <t>P / S (carga con filtro capacitivo)</t>
  </si>
  <si>
    <t>11. ANCHO MÍNIMO DE PISTAS DE POTENCIA (IPC-2221, capa externa, cobre 2 oz)</t>
  </si>
  <si>
    <t>Espesor del cobre (2 oz)</t>
  </si>
  <si>
    <t>mil</t>
  </si>
  <si>
    <t>2 oz/ft² ≈ 70 µm.</t>
  </si>
  <si>
    <t>Elevación de temperatura admitida</t>
  </si>
  <si>
    <t>Criterio habitual.</t>
  </si>
  <si>
    <t>Ancho mínimo — Secundario del transformador → puente (corriente RMS)</t>
  </si>
  <si>
    <t>mm</t>
  </si>
  <si>
    <t>A = (I / (k·ΔT^0,44))^(1/0,725); k = 0,048</t>
  </si>
  <si>
    <t>IPC-2221; usar planos de cobre cuando sea posible</t>
  </si>
  <si>
    <t>Ancho mínimo — Bus VIN DC (corriente DC máxima)</t>
  </si>
  <si>
    <t>Ancho mínimo — Salida +12 V (5 A)</t>
  </si>
  <si>
    <t>Ancho mínimo — Salida +5 V (5 A)</t>
  </si>
  <si>
    <t>Ancho mínimo — Salida +3,3 V (3 A)</t>
  </si>
  <si>
    <t>Ancho mínimo — Salida variable (3 A)</t>
  </si>
  <si>
    <t>Ancho mínimo — Salida −12 V (1 A)</t>
  </si>
  <si>
    <t>Diseño de los cinco convertidores DC/DC — cálculos por salida</t>
  </si>
  <si>
    <t>Metodología del fabricante (hoja de datos LM2678, §7.2: E·T, inductor, capacitores, diodo) y TPS54560B inversor (§8.3). Entradas en azul; todo lo demás son fórmulas.</t>
  </si>
  <si>
    <t>Concepto</t>
  </si>
  <si>
    <t>Variable 1,25–15 V / 3 A</t>
  </si>
  <si>
    <t>Fundamento / fuente</t>
  </si>
  <si>
    <t>1. DATOS DE LA SALIDA</t>
  </si>
  <si>
    <t>Circuito integrado</t>
  </si>
  <si>
    <t>LM2678T-12</t>
  </si>
  <si>
    <t>LM2678T-5.0</t>
  </si>
  <si>
    <t>LM2678T-3.3</t>
  </si>
  <si>
    <t>TPS54560B</t>
  </si>
  <si>
    <t>LM2678T-ADJ</t>
  </si>
  <si>
    <t>Candidatos del PDF validados contra su hoja de datos.</t>
  </si>
  <si>
    <t>Topología</t>
  </si>
  <si>
    <t>Reductor (buck)</t>
  </si>
  <si>
    <t>Buck-boost inversor</t>
  </si>
  <si>
    <t>Reductor (buck) ajustable</t>
  </si>
  <si>
    <t>−12 V: TPS54560B en configuración inversora (hoja de datos §8.3 y nota SLVA317).</t>
  </si>
  <si>
    <t>Tensión de salida (máxima para la variable)</t>
  </si>
  <si>
    <t>Tabla 1 del PDF.</t>
  </si>
  <si>
    <t>Corriente máxima de salida</t>
  </si>
  <si>
    <t>Potencia máxima de salida</t>
  </si>
  <si>
    <t>P = |V|·I</t>
  </si>
  <si>
    <t>Eficiencia de diseño (conservadora)</t>
  </si>
  <si>
    <t>LM2678 datasheet: 92 % (12 V, Vin 24 V), 84 % (5 V), 82 % (3,3 V) a Vin 12 V; se reduce porque aquí Vin ≈ 21–31 V. −12 V: supuesto.</t>
  </si>
  <si>
    <t>Potencia tomada del bus VIN DC</t>
  </si>
  <si>
    <t>P_in = P_out / η</t>
  </si>
  <si>
    <t>Pérdidas del convertidor</t>
  </si>
  <si>
    <t>P_in − P_out</t>
  </si>
  <si>
    <t>2. ENTRADA DESDE EL BUS VIN DC</t>
  </si>
  <si>
    <t>Tensión mínima del bus</t>
  </si>
  <si>
    <t>Hoja Calculos §4</t>
  </si>
  <si>
    <t>Tensión máxima del bus</t>
  </si>
  <si>
    <t>Entrada mínima del IC</t>
  </si>
  <si>
    <t>LM2678-12: 15 V; resto de LM2678: 8 V; TPS54560B: 4,5 V.</t>
  </si>
  <si>
    <t>Verificación entrada mínima</t>
  </si>
  <si>
    <t>Vin_min ≥ Vin_min_IC</t>
  </si>
  <si>
    <t>Tensión máxima vista por el IC</t>
  </si>
  <si>
    <t>Inversor: el IC ve Vin + |Vout|.</t>
  </si>
  <si>
    <t>Entrada máxima del IC</t>
  </si>
  <si>
    <t>LM2678: 40 V de operación (45 V absolutos); TPS54560B: 60 V.</t>
  </si>
  <si>
    <t>Verificación entrada máxima</t>
  </si>
  <si>
    <t>Vin_max ≤ límite del IC</t>
  </si>
  <si>
    <t>Margen de tensión</t>
  </si>
  <si>
    <t>1 − Vin_max / límite</t>
  </si>
  <si>
    <t>3. CICLO DE TRABAJO</t>
  </si>
  <si>
    <t>Caída del diodo Schottky</t>
  </si>
  <si>
    <t>Resistencia del interruptor interno</t>
  </si>
  <si>
    <t>LM2678: 0,12 Ω típ.; TPS54560B: 92 mΩ.</t>
  </si>
  <si>
    <t>Caída en el interruptor a Imax</t>
  </si>
  <si>
    <t>Vsat = Rds·Iout</t>
  </si>
  <si>
    <t>Ciclo de trabajo máximo (Vin mínimo)</t>
  </si>
  <si>
    <t>Buck: D = (Vout+Vd)/(Vin−Vsat+Vd). Inversor: D = |Vo|/(Vin+|Vo|).</t>
  </si>
  <si>
    <t>Ciclo de trabajo mínimo (Vin máximo)</t>
  </si>
  <si>
    <t>Misma fórmula con Vin máximo.</t>
  </si>
  <si>
    <t>Ciclo de trabajo máximo del IC</t>
  </si>
  <si>
    <t>LM2678: 91 %.</t>
  </si>
  <si>
    <t>Verificación del ciclo</t>
  </si>
  <si>
    <t>D_max ≤ D_límite</t>
  </si>
  <si>
    <t>4. INDUCTOR</t>
  </si>
  <si>
    <t>Frecuencia de conmutación</t>
  </si>
  <si>
    <t>kHz</t>
  </si>
  <si>
    <t>LM2678: 260 kHz fijos. TPS54560B: 400 kHz (valor de diseño; RT se fija con la ecuación del datasheet en el esquemático).</t>
  </si>
  <si>
    <t>Constante E·T (voltios-microsegundo)</t>
  </si>
  <si>
    <t>V·µs</t>
  </si>
  <si>
    <t>Ecuación (3) del datasheet LM2678.</t>
  </si>
  <si>
    <t>Inductancia mínima (rizado ≤ 30 %)</t>
  </si>
  <si>
    <t>µH</t>
  </si>
  <si>
    <t>L ≥ E·T / (0,3·Iout)</t>
  </si>
  <si>
    <t>Inductancia seleccionada</t>
  </si>
  <si>
    <t>Valores de la Tabla 7-3 del LM2678. ADJ: 33–47 µH recomendados para tensiones bajas.</t>
  </si>
  <si>
    <t>Rizado de corriente del inductor (pico a pico)</t>
  </si>
  <si>
    <t>Buck: E·T/L (Vin máx). Inversor: Vin·D/(f·L) (Vin mín).</t>
  </si>
  <si>
    <t>Corriente media del inductor</t>
  </si>
  <si>
    <t>Inversor: Iout/(1−D).</t>
  </si>
  <si>
    <t>Corriente pico del inductor</t>
  </si>
  <si>
    <t>I_prom + ΔI/2</t>
  </si>
  <si>
    <t>Corriente nominal del inductor elegido</t>
  </si>
  <si>
    <t>Tabla 7-3 LM2678 (L41, L40, L39).</t>
  </si>
  <si>
    <t>Verificación del inductor</t>
  </si>
  <si>
    <t>L ≥ L_min e I_pico ≤ I_nominal</t>
  </si>
  <si>
    <t>Referencia del inductor</t>
  </si>
  <si>
    <t>Referencias de la Tabla 7-3 del datasheet LM2678.</t>
  </si>
  <si>
    <t>5. CAPACIDAD DE CORRIENTE DE SALIDA</t>
  </si>
  <si>
    <t>Límite de corriente mínimo garantizado del IC</t>
  </si>
  <si>
    <t>LM2678: 5,75 A mín. (−40…125 °C). TPS54560B: 5 A (valor conservador).</t>
  </si>
  <si>
    <t>Corriente máxima entregable</t>
  </si>
  <si>
    <t>Buck: I_lim − ΔI/2. Inversor: (I_lim − ΔI/2)·(1−D).</t>
  </si>
  <si>
    <t>Verificación de capacidad</t>
  </si>
  <si>
    <t>I_entregable ≥ Imax</t>
  </si>
  <si>
    <t>6. CAPACITOR DE SALIDA Y RIZADO</t>
  </si>
  <si>
    <t>Capacitancia de salida total</t>
  </si>
  <si>
    <t>Tablas 7-6 y 7-10 del LM2678 (Panasonic HFQ). Variable: 2 × 560 µF cubre 1,25–15 V.</t>
  </si>
  <si>
    <t>Tensión nominal del capacitor de salida</t>
  </si>
  <si>
    <t>Debe ser ≥ 1,3 × Vout.</t>
  </si>
  <si>
    <t>Verificación de tensión</t>
  </si>
  <si>
    <t>V_cap ≥ 1,3·Vout</t>
  </si>
  <si>
    <t>ESR estimada del capacitor de salida</t>
  </si>
  <si>
    <t>Supuesto — validar con la hoja de datos del capacitor elegido.</t>
  </si>
  <si>
    <t>Rizado de salida estimado (pico a pico)</t>
  </si>
  <si>
    <t>Buck: ΔI·ESR. Inversor: Ipk·ESR + Iout·D/(f·C).</t>
  </si>
  <si>
    <t>Rizado relativo</t>
  </si>
  <si>
    <t>Rizado / |Vout|</t>
  </si>
  <si>
    <t>Verificación del rizado</t>
  </si>
  <si>
    <t>Rizado ≤ 1 % de Vout</t>
  </si>
  <si>
    <t>Capacitor de salida elegido</t>
  </si>
  <si>
    <t>1 × 560 µF/35 V low-ESR (HFQ C5)</t>
  </si>
  <si>
    <t>1 × 1000 µF/35 V low-ESR (HFQ C7)</t>
  </si>
  <si>
    <t>1 × 100 µF/25 V low-ESR + 2 × 10 µF/25 V X7R</t>
  </si>
  <si>
    <t>2 × 560 µF/35 V low-ESR (HFQ C5)</t>
  </si>
  <si>
    <t>Equivalentes vigentes de la serie Panasonic HFQ indicada por TI.</t>
  </si>
  <si>
    <t>7. CAPACITOR DE ENTRADA LOCAL (junto a cada convertidor)</t>
  </si>
  <si>
    <t>Capacitancia de entrada</t>
  </si>
  <si>
    <t>LM2678: 1500 µF/63 V (Tabla 7-8, código C16). TPS54560B: 100 µF + cerámicos.</t>
  </si>
  <si>
    <t>Tensión nominal</t>
  </si>
  <si>
    <t>Debe ser ≥ 1,3 × Vin máx.</t>
  </si>
  <si>
    <t>Corriente RMS requerida</t>
  </si>
  <si>
    <t>Buck: Iout/2. Inversor: I_L·√(D(1−D)).</t>
  </si>
  <si>
    <t>Corriente RMS nominal del capacitor</t>
  </si>
  <si>
    <t>HFQ C16: 2,51 A (datasheet LM2678). TPS54560B: supuesto — validar.</t>
  </si>
  <si>
    <t>Verificación</t>
  </si>
  <si>
    <t>V ≥ 1,3·Vin_máx e I_rms ≥ requerida</t>
  </si>
  <si>
    <t>8. DIODO DE LIBRE CIRCULACIÓN (Schottky)</t>
  </si>
  <si>
    <t>Diodo elegido</t>
  </si>
  <si>
    <t>MBR745: Tabla 7-4 del LM2678 (7,5 A, 45 V). SS36: 3 A, 60 V.</t>
  </si>
  <si>
    <t>Tensión inversa</t>
  </si>
  <si>
    <t>Corriente media nominal</t>
  </si>
  <si>
    <t>Debe superar la corriente pico del inductor.</t>
  </si>
  <si>
    <t>Verificación del diodo</t>
  </si>
  <si>
    <t>V_R ≥ 1,3·Vin y I_F ≥ I_pico</t>
  </si>
  <si>
    <t>Potencia disipada en el diodo</t>
  </si>
  <si>
    <t>Vd·Iout·(1−D). Variable: peor caso a Vout mínimo.</t>
  </si>
  <si>
    <t>9. VERIFICACIÓN TÉRMICA DEL CONVERTIDOR</t>
  </si>
  <si>
    <t>Encapsulado y disipación</t>
  </si>
  <si>
    <t>TO-220-7 + disipador</t>
  </si>
  <si>
    <t>HSOIC-8 PowerPAD (DDA) sobre cobre</t>
  </si>
  <si>
    <t>El LM2678 TO-220 queda en el plano de tierra (pestaña a GND).</t>
  </si>
  <si>
    <t>Fracción de las pérdidas que se disipan en el IC</t>
  </si>
  <si>
    <t>El resto se reparte entre diodo e inductor.</t>
  </si>
  <si>
    <t>Potencia disipada en el IC</t>
  </si>
  <si>
    <t>P_IC = fracción · pérdidas</t>
  </si>
  <si>
    <t>Resistencia térmica unión–cápsula (TO-220)</t>
  </si>
  <si>
    <t>LM2678 datasheet §5.4.</t>
  </si>
  <si>
    <t>Resistencia cápsula–disipador</t>
  </si>
  <si>
    <t>Con grasa térmica (supuesto).</t>
  </si>
  <si>
    <t>Resistencia térmica máxima del disipador</t>
  </si>
  <si>
    <t>Disipador seleccionado</t>
  </si>
  <si>
    <t>Disipador estándar para TO-220 (≤ 12 °C/W).</t>
  </si>
  <si>
    <t>Resistencia térmica unión–ambiente</t>
  </si>
  <si>
    <t>Supuesto para HSOIC-8 PowerPAD sobre cobre — validar con el datasheet y el layout.</t>
  </si>
  <si>
    <t>Temperatura de unión estimada</t>
  </si>
  <si>
    <t>Tj = Tamb + P·Rθ_total</t>
  </si>
  <si>
    <t>Verificación térmica</t>
  </si>
  <si>
    <t>Tj ≤ 125 °C</t>
  </si>
  <si>
    <t>10. PROTECCIÓN DE CADA SALIDA</t>
  </si>
  <si>
    <t>Corriente de retención mínima del PTC</t>
  </si>
  <si>
    <t>Imax · margen / factor de reducción</t>
  </si>
  <si>
    <t>Posición en la tabla de PTC (auxiliar)</t>
  </si>
  <si>
    <t>Auxiliar de cálculo.</t>
  </si>
  <si>
    <t>Índice del PTC elegido (auxiliar)</t>
  </si>
  <si>
    <t>Primer PTC con retención suficiente.</t>
  </si>
  <si>
    <t>PTC reiniciable seleccionado (Bourns)</t>
  </si>
  <si>
    <t>Serie MF-R, radial. Retención y disparo: ver tabla al final.</t>
  </si>
  <si>
    <t>Corriente de retención del PTC</t>
  </si>
  <si>
    <t>A 23 °C.</t>
  </si>
  <si>
    <t>Verificación del PTC</t>
  </si>
  <si>
    <t>Retención derateada ≥ Imax</t>
  </si>
  <si>
    <t>Diodo de sujeción en el borne de salida</t>
  </si>
  <si>
    <t>SMCJ13A (TVS 1500 W)</t>
  </si>
  <si>
    <t>SMCJ6.0A (TVS 1500 W)</t>
  </si>
  <si>
    <t>Zener 1N5335B (3,9 V, 5 W)</t>
  </si>
  <si>
    <t>SMCJ13CA (TVS bidireccional)</t>
  </si>
  <si>
    <t>SMCJ16A (TVS 1500 W)</t>
  </si>
  <si>
    <t>Recorta sobretensiones y picos inductivos.</t>
  </si>
  <si>
    <t>Tensión de trabajo (Vwm) / Zener (Vz)</t>
  </si>
  <si>
    <t>No debe conducir con Vout máxima.</t>
  </si>
  <si>
    <t>Tensión de sujeción máxima (Vc / Vz máx.)</t>
  </si>
  <si>
    <t>Valores de hoja de datos de la serie SMCJ (validar).</t>
  </si>
  <si>
    <t>Verificación del TVS</t>
  </si>
  <si>
    <t>Vwm ≥ Vout·(1 + tolerancia)</t>
  </si>
  <si>
    <t>11. TABLA DE REFERENCIA: PTC REINICIABLES BOURNS MF-R (retención ascendente)</t>
  </si>
  <si>
    <t>MF-R110</t>
  </si>
  <si>
    <t>Retención (col. C) y disparo = 2 × retención (col. D). Bourns MF-R, hoja de datos mf-r.pdf.</t>
  </si>
  <si>
    <t>MF-R135</t>
  </si>
  <si>
    <t>MF-R160</t>
  </si>
  <si>
    <t>MF-R185</t>
  </si>
  <si>
    <t>MF-R250</t>
  </si>
  <si>
    <t>MF-R300</t>
  </si>
  <si>
    <t>MF-R400</t>
  </si>
  <si>
    <t>MF-R500</t>
  </si>
  <si>
    <t>MF-R600</t>
  </si>
  <si>
    <t>MF-R700</t>
  </si>
  <si>
    <t>MF-R800</t>
  </si>
  <si>
    <t>Datos pendientes del PDF (§9) — resueltos</t>
  </si>
  <si>
    <t>Cada dato que el documento dejaba «por definir» tiene aquí su decisión, su valor y su justificación. La última columna marca lo que conviene validar con el docente.</t>
  </si>
  <si>
    <t>Dato pendiente (PDF §9)</t>
  </si>
  <si>
    <t>Decisión</t>
  </si>
  <si>
    <t>¿Confirmar con el docente?</t>
  </si>
  <si>
    <t>D-01</t>
  </si>
  <si>
    <t>Transformador: tensión del secundario</t>
  </si>
  <si>
    <t>Antek AS-4220, secundarios en paralelo</t>
  </si>
  <si>
    <t>Con 20 V el bus nunca baja de la tensión requerida (Calculos §4) y nunca supera los 40 V de los LM2678.</t>
  </si>
  <si>
    <t>No</t>
  </si>
  <si>
    <t>D-02</t>
  </si>
  <si>
    <t>Transformador: corriente nominal</t>
  </si>
  <si>
    <t>Secundarios 2 × 10 A en paralelo</t>
  </si>
  <si>
    <t>La corriente RMS requerida es menor (Calculos §5).</t>
  </si>
  <si>
    <t>D-03</t>
  </si>
  <si>
    <t>Transformador: potencia</t>
  </si>
  <si>
    <t>Transformador de 400 VA</t>
  </si>
  <si>
    <t>Potencia mínima con margen del 20 %: ver Calculos §5. El AS-3220 (300 VA) queda al límite; el AN-5220 (500 VA) es innecesario.</t>
  </si>
  <si>
    <t>D-04</t>
  </si>
  <si>
    <t>Tensión mínima del bus VIN DC</t>
  </si>
  <si>
    <t>Mínimo requerido y mínimo obtenido</t>
  </si>
  <si>
    <t>Requerido (LM2678-12 y salida variable a 15 V + margen). El valor obtenido en el peor caso está en Calculos §4.</t>
  </si>
  <si>
    <t>D-05</t>
  </si>
  <si>
    <t>Rizado admisible del bus</t>
  </si>
  <si>
    <t>Rizado pico a pico máximo</t>
  </si>
  <si>
    <t>Define C ≥ I/(2·f·ΔV). Con 30 000 µF el rizado real es menor (Calculos §4).</t>
  </si>
  <si>
    <t>D-06</t>
  </si>
  <si>
    <t>¿Todas las salidas a corriente máxima a la vez?</t>
  </si>
  <si>
    <t>SÍ — se diseña para el peor caso</t>
  </si>
  <si>
    <t>Potencia al bus con las cinco salidas a plena carga, incluyendo pérdidas.</t>
  </si>
  <si>
    <t>Sí</t>
  </si>
  <si>
    <t>D-07</t>
  </si>
  <si>
    <t>±3 % (carga y temperatura)</t>
  </si>
  <si>
    <t>Especificación del LM2678 (±2 % a 25 °C).</t>
  </si>
  <si>
    <t>D-08</t>
  </si>
  <si>
    <t>Rizado de cada salida</t>
  </si>
  <si>
    <t>≤ 1 % de Vout (pico a pico)</t>
  </si>
  <si>
    <t>Criterio del fabricante; verificado en Convertidores §6.</t>
  </si>
  <si>
    <t>D-09</t>
  </si>
  <si>
    <t>Topología del convertidor de −12 V</t>
  </si>
  <si>
    <t>Buck-boost inversor con TPS54560B</t>
  </si>
  <si>
    <t>Inversor</t>
  </si>
  <si>
    <t>La hoja de datos del TPS54560B incluye la sección «Inverting Power» (§8.3) y la nota SLVA317. Vin del IC = Vbus + 12 V &lt; 60 V.</t>
  </si>
  <si>
    <t>D-10</t>
  </si>
  <si>
    <t>Protección de entrada: tipo y umbrales</t>
  </si>
  <si>
    <t>Fusible T4A + varistor 150 Vac + NTC 10 Ω</t>
  </si>
  <si>
    <t>Fusible ≥ I_primario/0,75; NTC limita el arranque (Calculos §6).</t>
  </si>
  <si>
    <t>D-11</t>
  </si>
  <si>
    <t>Protección del bus DC: tipo y umbrales</t>
  </si>
  <si>
    <t>Fusible ATO 15 A + TVS SMCJ30A + sangrado</t>
  </si>
  <si>
    <t>Fusible ≥ I_DC/0,75; el TVS no conduce con el bus máximo (Calculos §8).</t>
  </si>
  <si>
    <t>D-12</t>
  </si>
  <si>
    <t>Protección de salidas: tipo y umbrales</t>
  </si>
  <si>
    <t>PTC Bourns MF-R + diodo de sujeción por salida</t>
  </si>
  <si>
    <t>Ver hoja</t>
  </si>
  <si>
    <t>Retención derateada ≥ 1,05·Imax; Vwm del TVS ≥ Vout·1,03 (Convertidores §10).</t>
  </si>
  <si>
    <t>D-13</t>
  </si>
  <si>
    <t>Eficiencia objetivo</t>
  </si>
  <si>
    <t>Total ≥ 70 %; DC/DC ≥ 80 %</t>
  </si>
  <si>
    <t>Eficiencia total calculada en Calculos §10.</t>
  </si>
  <si>
    <t>D-14</t>
  </si>
  <si>
    <t>GND común a las cinco salidas; flotante respecto a PE</t>
  </si>
  <si>
    <t>El transformador aísla la red; el chasis va a PE; puente opcional GND–chasis.</t>
  </si>
  <si>
    <t>D-15</t>
  </si>
  <si>
    <t>Ubicación de la etapa de red</t>
  </si>
  <si>
    <t>Módulo IEC, fusible, interruptor, NTC y varistor cableados en el chasis</t>
  </si>
  <si>
    <t>Fuera de PCB</t>
  </si>
  <si>
    <t>La PCB trabaja solo con baja tensión (secundario).</t>
  </si>
  <si>
    <t>D-16</t>
  </si>
  <si>
    <t>Tensión y frecuencia de red</t>
  </si>
  <si>
    <t>120 V / 60 Hz (Colombia)</t>
  </si>
  <si>
    <t>Base de todos los cálculos del bus.</t>
  </si>
  <si>
    <t>Datos pendientes del PDF Pag_9 con su decisión</t>
  </si>
  <si>
    <t>• Red de 120 V / 60 Hz con variación de ±10 %.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</si>
</sst>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#,##0.0"/>
    <numFmt numFmtId="167" formatCode="0.000"/>
  </numFmts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10"/>
      <name val="Arial"/>
    </font>
    <font>
      <sz val="10"/>
      <color rgb="FF0000FF"/>
      <name val="Arial"/>
    </font>
    <font>
      <sz val="10"/>
      <name val="Arial"/>
    </font>
    <font>
      <sz val="10"/>
      <color rgb="FF008000"/>
      <name val="Arial"/>
    </font>
    <font>
      <sz val="10"/>
      <color rgb="FFA6A6A6"/>
      <name val="Arial"/>
    </font>
    <font>
      <u/>
      <sz val="10"/>
      <color rgb="FF0563C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0" xfId="0" applyFont="1" applyFill="1"/>
    <xf numFmtId="0" fontId="0" fillId="3" borderId="0" xfId="0" applyFill="1"/>
    <xf numFmtId="0" fontId="6" fillId="0" borderId="1" xfId="0" applyFont="1" applyBorder="1"/>
    <xf numFmtId="164" fontId="7" fillId="0" borderId="1" xfId="0" applyNumberFormat="1" applyFont="1" applyBorder="1" applyAlignment="1">
      <alignment horizontal="right"/>
    </xf>
    <xf numFmtId="9" fontId="7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0" fontId="9" fillId="0" borderId="1" xfId="0" applyFont="1" applyBorder="1"/>
    <xf numFmtId="0" fontId="5" fillId="4" borderId="1" xfId="0" applyFont="1" applyFill="1" applyBorder="1"/>
    <xf numFmtId="0" fontId="7" fillId="0" borderId="1" xfId="0" applyFont="1" applyBorder="1"/>
    <xf numFmtId="0" fontId="4" fillId="5" borderId="1" xfId="0" applyFont="1" applyFill="1" applyBorder="1"/>
    <xf numFmtId="0" fontId="3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164" fontId="5" fillId="4" borderId="1" xfId="0" applyNumberFormat="1" applyFont="1" applyFill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0" fontId="0" fillId="5" borderId="1" xfId="0" applyFill="1" applyBorder="1"/>
    <xf numFmtId="164" fontId="4" fillId="5" borderId="1" xfId="0" applyNumberFormat="1" applyFont="1" applyFill="1" applyBorder="1"/>
    <xf numFmtId="0" fontId="6" fillId="5" borderId="1" xfId="0" applyFont="1" applyFill="1" applyBorder="1"/>
    <xf numFmtId="1" fontId="7" fillId="0" borderId="1" xfId="0" applyNumberFormat="1" applyFont="1" applyBorder="1" applyAlignment="1">
      <alignment horizontal="right" vertical="top" wrapText="1"/>
    </xf>
    <xf numFmtId="164" fontId="7" fillId="0" borderId="1" xfId="0" applyNumberFormat="1" applyFont="1" applyBorder="1" applyAlignment="1">
      <alignment horizontal="right" vertical="top" wrapText="1"/>
    </xf>
    <xf numFmtId="2" fontId="7" fillId="0" borderId="1" xfId="0" applyNumberFormat="1" applyFont="1" applyBorder="1" applyAlignment="1">
      <alignment horizontal="right" vertical="top" wrapText="1"/>
    </xf>
    <xf numFmtId="3" fontId="7" fillId="0" borderId="1" xfId="0" applyNumberFormat="1" applyFont="1" applyBorder="1" applyAlignment="1">
      <alignment horizontal="right" vertical="top" wrapText="1"/>
    </xf>
    <xf numFmtId="9" fontId="7" fillId="0" borderId="1" xfId="0" applyNumberFormat="1" applyFont="1" applyBorder="1" applyAlignment="1">
      <alignment horizontal="right" vertical="top" wrapText="1"/>
    </xf>
    <xf numFmtId="165" fontId="7" fillId="0" borderId="1" xfId="0" applyNumberFormat="1" applyFont="1" applyBorder="1" applyAlignment="1">
      <alignment horizontal="right" vertical="top" wrapText="1"/>
    </xf>
    <xf numFmtId="0" fontId="6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2" fontId="7" fillId="0" borderId="1" xfId="0" applyNumberFormat="1" applyFont="1" applyBorder="1" applyAlignment="1">
      <alignment horizontal="right" vertical="top"/>
    </xf>
    <xf numFmtId="164" fontId="7" fillId="0" borderId="1" xfId="0" applyNumberFormat="1" applyFont="1" applyBorder="1" applyAlignment="1">
      <alignment horizontal="right" vertical="top"/>
    </xf>
    <xf numFmtId="2" fontId="5" fillId="4" borderId="1" xfId="0" applyNumberFormat="1" applyFont="1" applyFill="1" applyBorder="1" applyAlignment="1">
      <alignment horizontal="right" vertical="top"/>
    </xf>
    <xf numFmtId="167" fontId="5" fillId="4" borderId="1" xfId="0" applyNumberFormat="1" applyFont="1" applyFill="1" applyBorder="1" applyAlignment="1">
      <alignment horizontal="right" vertical="top"/>
    </xf>
    <xf numFmtId="167" fontId="7" fillId="0" borderId="1" xfId="0" applyNumberFormat="1" applyFont="1" applyBorder="1" applyAlignment="1">
      <alignment horizontal="right" vertical="top"/>
    </xf>
    <xf numFmtId="1" fontId="5" fillId="4" borderId="1" xfId="0" applyNumberFormat="1" applyFont="1" applyFill="1" applyBorder="1" applyAlignment="1">
      <alignment horizontal="right" vertical="top"/>
    </xf>
    <xf numFmtId="3" fontId="5" fillId="4" borderId="1" xfId="0" applyNumberFormat="1" applyFont="1" applyFill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164" fontId="5" fillId="4" borderId="1" xfId="0" applyNumberFormat="1" applyFont="1" applyFill="1" applyBorder="1" applyAlignment="1">
      <alignment horizontal="right" vertical="top"/>
    </xf>
    <xf numFmtId="9" fontId="5" fillId="4" borderId="1" xfId="0" applyNumberFormat="1" applyFont="1" applyFill="1" applyBorder="1" applyAlignment="1">
      <alignment horizontal="right" vertical="top"/>
    </xf>
    <xf numFmtId="9" fontId="7" fillId="0" borderId="1" xfId="0" applyNumberFormat="1" applyFont="1" applyBorder="1" applyAlignment="1">
      <alignment horizontal="right" vertical="top"/>
    </xf>
    <xf numFmtId="10" fontId="7" fillId="0" borderId="1" xfId="0" applyNumberFormat="1" applyFont="1" applyBorder="1" applyAlignment="1">
      <alignment horizontal="right" vertical="top"/>
    </xf>
    <xf numFmtId="165" fontId="7" fillId="0" borderId="1" xfId="0" applyNumberFormat="1" applyFont="1" applyBorder="1" applyAlignment="1">
      <alignment horizontal="right" vertical="top"/>
    </xf>
    <xf numFmtId="165" fontId="5" fillId="4" borderId="1" xfId="0" applyNumberFormat="1" applyFont="1" applyFill="1" applyBorder="1" applyAlignment="1">
      <alignment horizontal="right" vertical="top"/>
    </xf>
    <xf numFmtId="1" fontId="7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4" fillId="0" borderId="0" xfId="0" applyFont="1"/>
    <xf numFmtId="1" fontId="5" fillId="4" borderId="1" xfId="0" applyNumberFormat="1" applyFont="1" applyFill="1" applyBorder="1" applyAlignment="1">
      <alignment horizontal="right" vertical="top" wrapText="1"/>
    </xf>
    <xf numFmtId="9" fontId="5" fillId="4" borderId="1" xfId="0" applyNumberFormat="1" applyFont="1" applyFill="1" applyBorder="1" applyAlignment="1">
      <alignment horizontal="right" vertical="top" wrapText="1"/>
    </xf>
    <xf numFmtId="164" fontId="6" fillId="0" borderId="1" xfId="0" applyNumberFormat="1" applyFont="1" applyBorder="1" applyAlignment="1">
      <alignment horizontal="right" vertical="top" wrapText="1"/>
    </xf>
    <xf numFmtId="165" fontId="5" fillId="4" borderId="1" xfId="0" applyNumberFormat="1" applyFont="1" applyFill="1" applyBorder="1" applyAlignment="1">
      <alignment horizontal="right" vertical="top" wrapText="1"/>
    </xf>
    <xf numFmtId="2" fontId="5" fillId="4" borderId="1" xfId="0" applyNumberFormat="1" applyFont="1" applyFill="1" applyBorder="1" applyAlignment="1">
      <alignment horizontal="right" vertical="top" wrapText="1"/>
    </xf>
    <xf numFmtId="164" fontId="5" fillId="4" borderId="1" xfId="0" applyNumberFormat="1" applyFont="1" applyFill="1" applyBorder="1" applyAlignment="1">
      <alignment horizontal="right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vertical="top" wrapText="1"/>
    </xf>
    <xf numFmtId="164" fontId="4" fillId="5" borderId="1" xfId="0" applyNumberFormat="1" applyFont="1" applyFill="1" applyBorder="1" applyAlignment="1">
      <alignment horizontal="right" vertical="top" wrapText="1"/>
    </xf>
    <xf numFmtId="49" fontId="6" fillId="0" borderId="1" xfId="0" applyNumberFormat="1" applyFont="1" applyBorder="1" applyAlignment="1">
      <alignment horizontal="right" vertical="top" wrapText="1"/>
    </xf>
    <xf numFmtId="165" fontId="6" fillId="0" borderId="1" xfId="0" applyNumberFormat="1" applyFont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2" fontId="6" fillId="0" borderId="1" xfId="0" applyNumberFormat="1" applyFont="1" applyBorder="1" applyAlignment="1">
      <alignment horizontal="right" vertical="top" wrapText="1"/>
    </xf>
    <xf numFmtId="3" fontId="6" fillId="0" borderId="1" xfId="0" applyNumberFormat="1" applyFont="1" applyBorder="1" applyAlignment="1">
      <alignment horizontal="right" vertical="top" wrapText="1"/>
    </xf>
    <xf numFmtId="2" fontId="4" fillId="5" borderId="1" xfId="0" applyNumberFormat="1" applyFont="1" applyFill="1" applyBorder="1" applyAlignment="1">
      <alignment horizontal="right" vertical="top" wrapText="1"/>
    </xf>
    <xf numFmtId="9" fontId="6" fillId="0" borderId="1" xfId="0" applyNumberFormat="1" applyFont="1" applyBorder="1" applyAlignment="1">
      <alignment horizontal="right" vertical="top" wrapText="1"/>
    </xf>
    <xf numFmtId="1" fontId="6" fillId="0" borderId="1" xfId="0" applyNumberFormat="1" applyFont="1" applyBorder="1" applyAlignment="1">
      <alignment horizontal="right" vertical="top" wrapText="1"/>
    </xf>
    <xf numFmtId="1" fontId="4" fillId="5" borderId="1" xfId="0" applyNumberFormat="1" applyFont="1" applyFill="1" applyBorder="1" applyAlignment="1">
      <alignment horizontal="right" vertical="top" wrapText="1"/>
    </xf>
    <xf numFmtId="9" fontId="4" fillId="5" borderId="1" xfId="0" applyNumberFormat="1" applyFont="1" applyFill="1" applyBorder="1" applyAlignment="1">
      <alignment horizontal="right" vertical="top" wrapText="1"/>
    </xf>
    <xf numFmtId="166" fontId="5" fillId="4" borderId="1" xfId="0" applyNumberFormat="1" applyFont="1" applyFill="1" applyBorder="1" applyAlignment="1">
      <alignment horizontal="right" vertical="top" wrapText="1"/>
    </xf>
    <xf numFmtId="167" fontId="6" fillId="0" borderId="1" xfId="0" applyNumberFormat="1" applyFont="1" applyBorder="1" applyAlignment="1">
      <alignment horizontal="right" vertical="top" wrapText="1"/>
    </xf>
    <xf numFmtId="165" fontId="4" fillId="5" borderId="1" xfId="0" applyNumberFormat="1" applyFont="1" applyFill="1" applyBorder="1" applyAlignment="1">
      <alignment horizontal="right" vertical="top" wrapText="1"/>
    </xf>
    <xf numFmtId="167" fontId="5" fillId="4" borderId="1" xfId="0" applyNumberFormat="1" applyFont="1" applyFill="1" applyBorder="1" applyAlignment="1">
      <alignment horizontal="right" vertical="top" wrapText="1"/>
    </xf>
    <xf numFmtId="0" fontId="0" fillId="0" borderId="1" xfId="0" applyBorder="1" applyAlignment="1">
      <alignment horizontal="center" vertical="top" wrapText="1"/>
    </xf>
    <xf numFmtId="0" fontId="5" fillId="4" borderId="1" xfId="0" applyFont="1" applyFill="1" applyBorder="1" applyAlignment="1">
      <alignment vertical="top" wrapText="1"/>
    </xf>
    <xf numFmtId="10" fontId="6" fillId="0" borderId="1" xfId="0" applyNumberFormat="1" applyFont="1" applyBorder="1" applyAlignment="1">
      <alignment horizontal="right" vertical="top" wrapText="1"/>
    </xf>
    <xf numFmtId="2" fontId="5" fillId="4" borderId="1" xfId="0" applyNumberFormat="1" applyFont="1" applyFill="1" applyBorder="1" applyAlignment="1">
      <alignment vertical="top" wrapText="1"/>
    </xf>
    <xf numFmtId="2" fontId="6" fillId="0" borderId="1" xfId="0" applyNumberFormat="1" applyFont="1" applyBorder="1" applyAlignment="1">
      <alignment vertical="top" wrapText="1"/>
    </xf>
    <xf numFmtId="0" fontId="6" fillId="0" borderId="1" xfId="0" applyFont="1" applyBorder="1"/>
    <xf numFmtId="0" fontId="0" fillId="0" borderId="1" xfId="0" applyBorder="1"/>
    <xf numFmtId="0" fontId="6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4" fillId="3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0"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i.com/lit/ds/symlink/lm2678.pdf" TargetMode="External"/><Relationship Id="rId21" Type="http://schemas.openxmlformats.org/officeDocument/2006/relationships/hyperlink" Target="https://www.snapeda.com/search?q=SMCJ30A" TargetMode="External"/><Relationship Id="rId42" Type="http://schemas.openxmlformats.org/officeDocument/2006/relationships/hyperlink" Target="https://www.digikey.com/en/products/result?keywords=1500uF%2063V%20low%20ESR" TargetMode="External"/><Relationship Id="rId47" Type="http://schemas.openxmlformats.org/officeDocument/2006/relationships/hyperlink" Target="https://www.digikey.com/en/products/result?keywords=3590S-2-103L" TargetMode="External"/><Relationship Id="rId63" Type="http://schemas.openxmlformats.org/officeDocument/2006/relationships/hyperlink" Target="https://www.snapeda.com/search?q=SMCJ6.0A" TargetMode="External"/><Relationship Id="rId68" Type="http://schemas.openxmlformats.org/officeDocument/2006/relationships/hyperlink" Target="https://www.digikey.com/en/products/result?keywords=SMCJ16A" TargetMode="External"/><Relationship Id="rId2" Type="http://schemas.openxmlformats.org/officeDocument/2006/relationships/hyperlink" Target="https://www.snapeda.com/search?q=Schurter%20DD12" TargetMode="External"/><Relationship Id="rId16" Type="http://schemas.openxmlformats.org/officeDocument/2006/relationships/hyperlink" Target="https://www.snapeda.com/search?q=LKS1H103MESB" TargetMode="External"/><Relationship Id="rId29" Type="http://schemas.openxmlformats.org/officeDocument/2006/relationships/hyperlink" Target="https://www.ti.com/product/LM2678" TargetMode="External"/><Relationship Id="rId11" Type="http://schemas.openxmlformats.org/officeDocument/2006/relationships/hyperlink" Target="https://www.snapeda.com/search?q=MKDSP%2010" TargetMode="External"/><Relationship Id="rId24" Type="http://schemas.openxmlformats.org/officeDocument/2006/relationships/hyperlink" Target="https://www.ti.com/lit/ds/symlink/lm2678.pdf" TargetMode="External"/><Relationship Id="rId32" Type="http://schemas.openxmlformats.org/officeDocument/2006/relationships/hyperlink" Target="https://www.ti.com/lit/ds/symlink/lm2678.pdf" TargetMode="External"/><Relationship Id="rId37" Type="http://schemas.openxmlformats.org/officeDocument/2006/relationships/hyperlink" Target="https://www.snapeda.com/search?q=PE-54040" TargetMode="External"/><Relationship Id="rId40" Type="http://schemas.openxmlformats.org/officeDocument/2006/relationships/hyperlink" Target="https://www.digikey.com/en/products/result?keywords=SS36" TargetMode="External"/><Relationship Id="rId45" Type="http://schemas.openxmlformats.org/officeDocument/2006/relationships/hyperlink" Target="https://www.digikey.com/en/products/result?keywords=0.01uF%2050V%20X7R%200805" TargetMode="External"/><Relationship Id="rId53" Type="http://schemas.openxmlformats.org/officeDocument/2006/relationships/hyperlink" Target="https://www.digikey.com/en/products/result?keywords=heat%20sink%20TO-220%2012%20C/W" TargetMode="External"/><Relationship Id="rId58" Type="http://schemas.openxmlformats.org/officeDocument/2006/relationships/hyperlink" Target="https://www.bourns.com/docs/product-datasheets/mf-r.pdf" TargetMode="External"/><Relationship Id="rId66" Type="http://schemas.openxmlformats.org/officeDocument/2006/relationships/hyperlink" Target="https://www.digikey.com/en/products/result?keywords=SMCJ13CA" TargetMode="External"/><Relationship Id="rId74" Type="http://schemas.openxmlformats.org/officeDocument/2006/relationships/hyperlink" Target="https://www.digikey.com/en/products/result?keywords=MKDSP%2010" TargetMode="External"/><Relationship Id="rId5" Type="http://schemas.openxmlformats.org/officeDocument/2006/relationships/hyperlink" Target="https://www.digikey.com/en/products/result?keywords=S14K150" TargetMode="External"/><Relationship Id="rId61" Type="http://schemas.openxmlformats.org/officeDocument/2006/relationships/hyperlink" Target="https://www.snapeda.com/search?q=SMCJ13A" TargetMode="External"/><Relationship Id="rId19" Type="http://schemas.openxmlformats.org/officeDocument/2006/relationships/hyperlink" Target="https://www.snapeda.com/search?q=0287015.PXCN" TargetMode="External"/><Relationship Id="rId14" Type="http://schemas.openxmlformats.org/officeDocument/2006/relationships/hyperlink" Target="https://www.digikey.com/en/products/result?keywords=heat%20sink%20bridge%20rectifier%20GBJ" TargetMode="External"/><Relationship Id="rId22" Type="http://schemas.openxmlformats.org/officeDocument/2006/relationships/hyperlink" Target="https://www.ti.com/lit/ds/symlink/lm2678.pdf" TargetMode="External"/><Relationship Id="rId27" Type="http://schemas.openxmlformats.org/officeDocument/2006/relationships/hyperlink" Target="https://www.ti.com/product/LM2678" TargetMode="External"/><Relationship Id="rId30" Type="http://schemas.openxmlformats.org/officeDocument/2006/relationships/hyperlink" Target="https://www.ti.com/lit/ds/symlink/tps54560b.pdf" TargetMode="External"/><Relationship Id="rId35" Type="http://schemas.openxmlformats.org/officeDocument/2006/relationships/hyperlink" Target="https://www.snapeda.com/search?q=PE-54039" TargetMode="External"/><Relationship Id="rId43" Type="http://schemas.openxmlformats.org/officeDocument/2006/relationships/hyperlink" Target="https://www.digikey.com/en/products/result?keywords=560uF%2035V%20low%20ESR" TargetMode="External"/><Relationship Id="rId48" Type="http://schemas.openxmlformats.org/officeDocument/2006/relationships/hyperlink" Target="https://www.snapeda.com/search?q=3590S-2-103L" TargetMode="External"/><Relationship Id="rId56" Type="http://schemas.openxmlformats.org/officeDocument/2006/relationships/hyperlink" Target="https://www.bourns.com/docs/product-datasheets/mf-r.pdf" TargetMode="External"/><Relationship Id="rId64" Type="http://schemas.openxmlformats.org/officeDocument/2006/relationships/hyperlink" Target="https://www.digikey.com/en/products/result?keywords=1N5335B" TargetMode="External"/><Relationship Id="rId69" Type="http://schemas.openxmlformats.org/officeDocument/2006/relationships/hyperlink" Target="https://www.snapeda.com/search?q=SMCJ16A" TargetMode="External"/><Relationship Id="rId8" Type="http://schemas.openxmlformats.org/officeDocument/2006/relationships/hyperlink" Target="https://www.snapeda.com/search?q=SL32%2010015" TargetMode="External"/><Relationship Id="rId51" Type="http://schemas.openxmlformats.org/officeDocument/2006/relationships/hyperlink" Target="https://www.digikey.com/en/products/result?keywords=140k%201%25%20resistor" TargetMode="External"/><Relationship Id="rId72" Type="http://schemas.openxmlformats.org/officeDocument/2006/relationships/hyperlink" Target="https://www.newark.com/pomona/3770-0/binding-post-turret-15a-black/dp/78Y6926" TargetMode="External"/><Relationship Id="rId3" Type="http://schemas.openxmlformats.org/officeDocument/2006/relationships/hyperlink" Target="https://www.digikey.com/en/products/result?keywords=0215004.MXP" TargetMode="External"/><Relationship Id="rId12" Type="http://schemas.openxmlformats.org/officeDocument/2006/relationships/hyperlink" Target="https://www.diodes.com/assets/Datasheets/GBJ3510.pdf" TargetMode="External"/><Relationship Id="rId17" Type="http://schemas.openxmlformats.org/officeDocument/2006/relationships/hyperlink" Target="https://www.digikey.com/en/products/result?keywords=4.7k%202W%20resistor" TargetMode="External"/><Relationship Id="rId25" Type="http://schemas.openxmlformats.org/officeDocument/2006/relationships/hyperlink" Target="https://www.ti.com/product/LM2678" TargetMode="External"/><Relationship Id="rId33" Type="http://schemas.openxmlformats.org/officeDocument/2006/relationships/hyperlink" Target="https://www.snapeda.com/search?q=RL-1283-22-43" TargetMode="External"/><Relationship Id="rId38" Type="http://schemas.openxmlformats.org/officeDocument/2006/relationships/hyperlink" Target="https://www.ti.com/lit/ds/symlink/lm2678.pdf" TargetMode="External"/><Relationship Id="rId46" Type="http://schemas.openxmlformats.org/officeDocument/2006/relationships/hyperlink" Target="https://www.digikey.com/en/products/result?keywords=0.1uF%2050V%20X7R%200805" TargetMode="External"/><Relationship Id="rId59" Type="http://schemas.openxmlformats.org/officeDocument/2006/relationships/hyperlink" Target="https://www.digikey.com/en/products/result?keywords=MF-R160" TargetMode="External"/><Relationship Id="rId67" Type="http://schemas.openxmlformats.org/officeDocument/2006/relationships/hyperlink" Target="https://www.snapeda.com/search?q=SMCJ13CA" TargetMode="External"/><Relationship Id="rId20" Type="http://schemas.openxmlformats.org/officeDocument/2006/relationships/hyperlink" Target="https://www.digikey.com/en/products/result?keywords=SMCJ30A" TargetMode="External"/><Relationship Id="rId41" Type="http://schemas.openxmlformats.org/officeDocument/2006/relationships/hyperlink" Target="https://www.snapeda.com/search?q=SS36" TargetMode="External"/><Relationship Id="rId54" Type="http://schemas.openxmlformats.org/officeDocument/2006/relationships/hyperlink" Target="https://www.bourns.com/docs/product-datasheets/mf-r.pdf" TargetMode="External"/><Relationship Id="rId62" Type="http://schemas.openxmlformats.org/officeDocument/2006/relationships/hyperlink" Target="https://www.digikey.com/en/products/result?keywords=SMCJ6.0A" TargetMode="External"/><Relationship Id="rId70" Type="http://schemas.openxmlformats.org/officeDocument/2006/relationships/hyperlink" Target="https://www.newark.com/pomona/3770-2/binding-post-15a-turret-red/dp/78B1723" TargetMode="External"/><Relationship Id="rId75" Type="http://schemas.openxmlformats.org/officeDocument/2006/relationships/hyperlink" Target="https://www.snapeda.com/search?q=MKDSP%2010" TargetMode="External"/><Relationship Id="rId1" Type="http://schemas.openxmlformats.org/officeDocument/2006/relationships/hyperlink" Target="https://www.digikey.com/en/products/result?keywords=Schurter%20DD12" TargetMode="External"/><Relationship Id="rId6" Type="http://schemas.openxmlformats.org/officeDocument/2006/relationships/hyperlink" Target="https://www.snapeda.com/search?q=S14K150" TargetMode="External"/><Relationship Id="rId15" Type="http://schemas.openxmlformats.org/officeDocument/2006/relationships/hyperlink" Target="https://www.newark.com/c/passive-components/capacitors/aluminium-electrolytic-capacitors?brand=nichicon&amp;capacitance=10000uf" TargetMode="External"/><Relationship Id="rId23" Type="http://schemas.openxmlformats.org/officeDocument/2006/relationships/hyperlink" Target="https://www.ti.com/product/LM2678" TargetMode="External"/><Relationship Id="rId28" Type="http://schemas.openxmlformats.org/officeDocument/2006/relationships/hyperlink" Target="https://www.ti.com/lit/ds/symlink/lm2678.pdf" TargetMode="External"/><Relationship Id="rId36" Type="http://schemas.openxmlformats.org/officeDocument/2006/relationships/hyperlink" Target="https://www.ti.com/lit/ds/symlink/lm2678.pdf" TargetMode="External"/><Relationship Id="rId49" Type="http://schemas.openxmlformats.org/officeDocument/2006/relationships/hyperlink" Target="https://www.digikey.com/en/products/result?keywords=887%20ohm%201%25%20resistor" TargetMode="External"/><Relationship Id="rId57" Type="http://schemas.openxmlformats.org/officeDocument/2006/relationships/hyperlink" Target="https://www.digikey.com/en/products/result?keywords=MF-R500" TargetMode="External"/><Relationship Id="rId10" Type="http://schemas.openxmlformats.org/officeDocument/2006/relationships/hyperlink" Target="https://www.digikey.com/en/products/result?keywords=MKDSP%2010" TargetMode="External"/><Relationship Id="rId31" Type="http://schemas.openxmlformats.org/officeDocument/2006/relationships/hyperlink" Target="https://www.ti.com/product/TPS54560B" TargetMode="External"/><Relationship Id="rId44" Type="http://schemas.openxmlformats.org/officeDocument/2006/relationships/hyperlink" Target="https://www.digikey.com/en/products/result?keywords=1000uF%2035V%20low%20ESR" TargetMode="External"/><Relationship Id="rId52" Type="http://schemas.openxmlformats.org/officeDocument/2006/relationships/hyperlink" Target="https://www.ti.com/product/TPS54560B" TargetMode="External"/><Relationship Id="rId60" Type="http://schemas.openxmlformats.org/officeDocument/2006/relationships/hyperlink" Target="https://www.digikey.com/en/products/result?keywords=SMCJ13A" TargetMode="External"/><Relationship Id="rId65" Type="http://schemas.openxmlformats.org/officeDocument/2006/relationships/hyperlink" Target="https://www.snapeda.com/search?q=1N5335B" TargetMode="External"/><Relationship Id="rId73" Type="http://schemas.openxmlformats.org/officeDocument/2006/relationships/hyperlink" Target="https://www.snapeda.com/search?q=3770-0" TargetMode="External"/><Relationship Id="rId4" Type="http://schemas.openxmlformats.org/officeDocument/2006/relationships/hyperlink" Target="https://www.snapeda.com/search?q=0215004.MXP" TargetMode="External"/><Relationship Id="rId9" Type="http://schemas.openxmlformats.org/officeDocument/2006/relationships/hyperlink" Target="https://www.antekinc.com/as-4220-400va-20v-transformer/" TargetMode="External"/><Relationship Id="rId13" Type="http://schemas.openxmlformats.org/officeDocument/2006/relationships/hyperlink" Target="https://www.snapeda.com/search?q=GBJ3510" TargetMode="External"/><Relationship Id="rId18" Type="http://schemas.openxmlformats.org/officeDocument/2006/relationships/hyperlink" Target="https://www.digikey.com/en/products/result?keywords=0287015.PXCN" TargetMode="External"/><Relationship Id="rId39" Type="http://schemas.openxmlformats.org/officeDocument/2006/relationships/hyperlink" Target="https://www.snapeda.com/search?q=MBR745" TargetMode="External"/><Relationship Id="rId34" Type="http://schemas.openxmlformats.org/officeDocument/2006/relationships/hyperlink" Target="https://www.ti.com/lit/ds/symlink/lm2678.pdf" TargetMode="External"/><Relationship Id="rId50" Type="http://schemas.openxmlformats.org/officeDocument/2006/relationships/hyperlink" Target="https://www.digikey.com/en/products/result?keywords=28.7%20ohm%201%25%20resistor" TargetMode="External"/><Relationship Id="rId55" Type="http://schemas.openxmlformats.org/officeDocument/2006/relationships/hyperlink" Target="https://www.digikey.com/en/products/result?keywords=MF-R700" TargetMode="External"/><Relationship Id="rId7" Type="http://schemas.openxmlformats.org/officeDocument/2006/relationships/hyperlink" Target="https://www.digikey.com/en/products/result?keywords=SL32%2010015" TargetMode="External"/><Relationship Id="rId71" Type="http://schemas.openxmlformats.org/officeDocument/2006/relationships/hyperlink" Target="https://www.snapeda.com/search?q=3770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7"/>
  <sheetViews>
    <sheetView showGridLines="0" topLeftCell="A12" workbookViewId="0">
      <selection activeCell="A33" sqref="A33:D33"/>
    </sheetView>
  </sheetViews>
  <sheetFormatPr baseColWidth="10" defaultColWidth="8.88671875" defaultRowHeight="14.4" x14ac:dyDescent="0.3"/>
  <cols>
    <col min="1" max="1" width="58" customWidth="1"/>
    <col min="2" max="2" width="52" customWidth="1"/>
    <col min="3" max="3" width="10" customWidth="1"/>
    <col min="4" max="4" width="30" customWidth="1"/>
  </cols>
  <sheetData>
    <row r="1" spans="1:4" ht="17.399999999999999" x14ac:dyDescent="0.3">
      <c r="A1" s="1" t="s">
        <v>0</v>
      </c>
    </row>
    <row r="2" spans="1:4" x14ac:dyDescent="0.3">
      <c r="A2" s="2" t="s">
        <v>1</v>
      </c>
    </row>
    <row r="4" spans="1:4" x14ac:dyDescent="0.3">
      <c r="A4" s="3" t="s">
        <v>2</v>
      </c>
      <c r="B4" s="4"/>
      <c r="C4" s="4"/>
      <c r="D4" s="4"/>
    </row>
    <row r="5" spans="1:4" x14ac:dyDescent="0.3">
      <c r="A5" s="5" t="s">
        <v>3</v>
      </c>
      <c r="B5" s="6">
        <f>Calculos!$C$20</f>
        <v>151.9</v>
      </c>
      <c r="C5" s="5" t="s">
        <v>4</v>
      </c>
    </row>
    <row r="6" spans="1:4" x14ac:dyDescent="0.3">
      <c r="A6" s="5" t="s">
        <v>5</v>
      </c>
      <c r="B6" s="6">
        <f>Calculos!$C$22</f>
        <v>176.74533799533799</v>
      </c>
      <c r="C6" s="5" t="s">
        <v>4</v>
      </c>
    </row>
    <row r="7" spans="1:4" x14ac:dyDescent="0.3">
      <c r="A7" s="5" t="s">
        <v>6</v>
      </c>
      <c r="B7" s="5" t="s">
        <v>7</v>
      </c>
      <c r="C7" s="5"/>
    </row>
    <row r="8" spans="1:4" x14ac:dyDescent="0.3">
      <c r="A8" s="5" t="s">
        <v>8</v>
      </c>
      <c r="B8" s="7">
        <f>Calculos!$C$79</f>
        <v>0.73981996496495817</v>
      </c>
      <c r="C8" s="5"/>
    </row>
    <row r="9" spans="1:4" x14ac:dyDescent="0.3">
      <c r="A9" s="5" t="s">
        <v>9</v>
      </c>
      <c r="B9" s="6">
        <f>Calculos!$C$52</f>
        <v>20.717890727893007</v>
      </c>
      <c r="C9" s="5" t="s">
        <v>10</v>
      </c>
    </row>
    <row r="10" spans="1:4" x14ac:dyDescent="0.3">
      <c r="A10" s="5" t="s">
        <v>11</v>
      </c>
      <c r="B10" s="6">
        <f>Calculos!$C$59</f>
        <v>17.892967032967032</v>
      </c>
      <c r="C10" s="5" t="s">
        <v>10</v>
      </c>
    </row>
    <row r="11" spans="1:4" x14ac:dyDescent="0.3">
      <c r="A11" s="5" t="s">
        <v>12</v>
      </c>
      <c r="B11" s="6">
        <f>Calculos!$C$63</f>
        <v>30.801642815235375</v>
      </c>
      <c r="C11" s="5" t="s">
        <v>10</v>
      </c>
    </row>
    <row r="12" spans="1:4" x14ac:dyDescent="0.3">
      <c r="A12" s="5" t="s">
        <v>13</v>
      </c>
      <c r="B12" s="8">
        <f>Calculos!$C$49</f>
        <v>30000</v>
      </c>
      <c r="C12" s="5" t="s">
        <v>14</v>
      </c>
    </row>
    <row r="13" spans="1:4" x14ac:dyDescent="0.3">
      <c r="A13" s="5" t="s">
        <v>15</v>
      </c>
      <c r="B13" s="9">
        <f>Calculos!$C$139</f>
        <v>0.7406720158924659</v>
      </c>
      <c r="C13" s="5"/>
    </row>
    <row r="14" spans="1:4" x14ac:dyDescent="0.3">
      <c r="A14" s="5" t="s">
        <v>16</v>
      </c>
      <c r="B14" s="6">
        <f>Calculos!$C$138</f>
        <v>205.08402739769977</v>
      </c>
      <c r="C14" s="5" t="s">
        <v>4</v>
      </c>
    </row>
    <row r="16" spans="1:4" x14ac:dyDescent="0.3">
      <c r="A16" s="3" t="s">
        <v>17</v>
      </c>
      <c r="B16" s="4"/>
      <c r="C16" s="4"/>
      <c r="D16" s="4"/>
    </row>
    <row r="17" spans="1:4" x14ac:dyDescent="0.3">
      <c r="A17" s="10" t="str">
        <f>HYPERLINK("#Especificaciones!A1","Especificaciones")</f>
        <v>Especificaciones</v>
      </c>
      <c r="B17" s="76" t="s">
        <v>18</v>
      </c>
      <c r="C17" s="77"/>
      <c r="D17" s="77"/>
    </row>
    <row r="18" spans="1:4" x14ac:dyDescent="0.3">
      <c r="A18" s="10" t="str">
        <f>HYPERLINK("#Req_Funcionales!A1","Req_Funcionales")</f>
        <v>Req_Funcionales</v>
      </c>
      <c r="B18" s="76" t="s">
        <v>19</v>
      </c>
      <c r="C18" s="77"/>
      <c r="D18" s="77"/>
    </row>
    <row r="19" spans="1:4" x14ac:dyDescent="0.3">
      <c r="A19" s="10" t="str">
        <f>HYPERLINK("#Req_NoFuncionales!A1","Req_NoFuncionales")</f>
        <v>Req_NoFuncionales</v>
      </c>
      <c r="B19" s="76" t="s">
        <v>20</v>
      </c>
      <c r="C19" s="77"/>
      <c r="D19" s="77"/>
    </row>
    <row r="20" spans="1:4" x14ac:dyDescent="0.3">
      <c r="A20" s="10" t="str">
        <f>HYPERLINK("#Restricciones!A1","Restricciones")</f>
        <v>Restricciones</v>
      </c>
      <c r="B20" s="76" t="s">
        <v>21</v>
      </c>
      <c r="C20" s="77"/>
      <c r="D20" s="77"/>
    </row>
    <row r="21" spans="1:4" x14ac:dyDescent="0.3">
      <c r="A21" s="10" t="str">
        <f>HYPERLINK("#Lista_Componentes!A1","Lista_Componentes")</f>
        <v>Lista_Componentes</v>
      </c>
      <c r="B21" s="76" t="s">
        <v>22</v>
      </c>
      <c r="C21" s="77"/>
      <c r="D21" s="77"/>
    </row>
    <row r="22" spans="1:4" x14ac:dyDescent="0.3">
      <c r="A22" s="10" t="str">
        <f>HYPERLINK("#Calculos!A1","Calculos")</f>
        <v>Calculos</v>
      </c>
      <c r="B22" s="76" t="s">
        <v>23</v>
      </c>
      <c r="C22" s="77"/>
      <c r="D22" s="77"/>
    </row>
    <row r="23" spans="1:4" x14ac:dyDescent="0.3">
      <c r="A23" s="10" t="str">
        <f>HYPERLINK("#Convertidores!A1","Convertidores")</f>
        <v>Convertidores</v>
      </c>
      <c r="B23" s="76" t="s">
        <v>24</v>
      </c>
      <c r="C23" s="77"/>
      <c r="D23" s="77"/>
    </row>
    <row r="24" spans="1:4" x14ac:dyDescent="0.3">
      <c r="A24" s="10" t="str">
        <f>HYPERLINK("#Decisiones!A1","Decisiones")</f>
        <v>Decisiones</v>
      </c>
      <c r="B24" s="76" t="s">
        <v>1334</v>
      </c>
      <c r="C24" s="77"/>
      <c r="D24" s="77"/>
    </row>
    <row r="26" spans="1:4" x14ac:dyDescent="0.3">
      <c r="A26" s="3" t="s">
        <v>25</v>
      </c>
      <c r="B26" s="4"/>
      <c r="C26" s="4"/>
      <c r="D26" s="4"/>
    </row>
    <row r="27" spans="1:4" x14ac:dyDescent="0.3">
      <c r="A27" s="11" t="s">
        <v>26</v>
      </c>
      <c r="B27" s="76" t="s">
        <v>27</v>
      </c>
      <c r="C27" s="77"/>
      <c r="D27" s="77"/>
    </row>
    <row r="28" spans="1:4" x14ac:dyDescent="0.3">
      <c r="A28" s="5" t="s">
        <v>28</v>
      </c>
      <c r="B28" s="76" t="s">
        <v>29</v>
      </c>
      <c r="C28" s="77"/>
      <c r="D28" s="77"/>
    </row>
    <row r="29" spans="1:4" x14ac:dyDescent="0.3">
      <c r="A29" s="12" t="s">
        <v>30</v>
      </c>
      <c r="B29" s="76" t="s">
        <v>31</v>
      </c>
      <c r="C29" s="77"/>
      <c r="D29" s="77"/>
    </row>
    <row r="30" spans="1:4" x14ac:dyDescent="0.3">
      <c r="A30" s="13" t="s">
        <v>32</v>
      </c>
      <c r="B30" s="76" t="s">
        <v>33</v>
      </c>
      <c r="C30" s="77"/>
      <c r="D30" s="77"/>
    </row>
    <row r="32" spans="1:4" x14ac:dyDescent="0.3">
      <c r="A32" s="3" t="s">
        <v>34</v>
      </c>
      <c r="B32" s="4"/>
      <c r="C32" s="4"/>
      <c r="D32" s="4"/>
    </row>
    <row r="33" spans="1:4" x14ac:dyDescent="0.3">
      <c r="A33" s="78" t="s">
        <v>1335</v>
      </c>
      <c r="B33" s="79"/>
      <c r="C33" s="79"/>
      <c r="D33" s="79"/>
    </row>
    <row r="34" spans="1:4" x14ac:dyDescent="0.3">
      <c r="A34" s="78" t="s">
        <v>35</v>
      </c>
      <c r="B34" s="79"/>
      <c r="C34" s="79"/>
      <c r="D34" s="79"/>
    </row>
    <row r="35" spans="1:4" x14ac:dyDescent="0.3">
      <c r="A35" s="78" t="s">
        <v>36</v>
      </c>
      <c r="B35" s="79"/>
      <c r="C35" s="79"/>
      <c r="D35" s="79"/>
    </row>
    <row r="36" spans="1:4" x14ac:dyDescent="0.3">
      <c r="A36" s="78" t="s">
        <v>37</v>
      </c>
      <c r="B36" s="79"/>
      <c r="C36" s="79"/>
      <c r="D36" s="79"/>
    </row>
    <row r="37" spans="1:4" x14ac:dyDescent="0.3">
      <c r="A37" s="78" t="s">
        <v>38</v>
      </c>
      <c r="B37" s="79"/>
      <c r="C37" s="79"/>
      <c r="D37" s="79"/>
    </row>
  </sheetData>
  <mergeCells count="17">
    <mergeCell ref="B17:D17"/>
    <mergeCell ref="B18:D18"/>
    <mergeCell ref="B27:D27"/>
    <mergeCell ref="B21:D21"/>
    <mergeCell ref="B30:D30"/>
    <mergeCell ref="B29:D29"/>
    <mergeCell ref="B24:D24"/>
    <mergeCell ref="B20:D20"/>
    <mergeCell ref="B28:D28"/>
    <mergeCell ref="A37:D37"/>
    <mergeCell ref="B19:D19"/>
    <mergeCell ref="B23:D23"/>
    <mergeCell ref="A34:D34"/>
    <mergeCell ref="B22:D22"/>
    <mergeCell ref="A35:D35"/>
    <mergeCell ref="A33:D33"/>
    <mergeCell ref="A36:D36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5"/>
  <sheetViews>
    <sheetView showGridLines="0" workbookViewId="0">
      <pane ySplit="2" topLeftCell="A19" activePane="bottomLeft" state="frozen"/>
      <selection pane="bottomLeft" activeCell="C21" sqref="C21"/>
    </sheetView>
  </sheetViews>
  <sheetFormatPr baseColWidth="10" defaultColWidth="8.88671875" defaultRowHeight="14.4" x14ac:dyDescent="0.3"/>
  <cols>
    <col min="1" max="1" width="9" customWidth="1"/>
    <col min="2" max="2" width="52" customWidth="1"/>
    <col min="3" max="3" width="22" customWidth="1"/>
    <col min="4" max="5" width="16" customWidth="1"/>
    <col min="6" max="6" width="58" customWidth="1"/>
    <col min="7" max="7" width="40" customWidth="1"/>
  </cols>
  <sheetData>
    <row r="1" spans="1:7" ht="17.399999999999999" x14ac:dyDescent="0.3">
      <c r="A1" s="1" t="s">
        <v>39</v>
      </c>
    </row>
    <row r="2" spans="1:7" ht="42" customHeight="1" x14ac:dyDescent="0.3">
      <c r="A2" s="80" t="s">
        <v>40</v>
      </c>
      <c r="B2" s="79"/>
      <c r="C2" s="79"/>
      <c r="D2" s="79"/>
      <c r="E2" s="79"/>
      <c r="F2" s="79"/>
      <c r="G2" s="79"/>
    </row>
    <row r="3" spans="1:7" ht="26.4" x14ac:dyDescent="0.3">
      <c r="A3" s="14" t="s">
        <v>41</v>
      </c>
      <c r="B3" s="14" t="s">
        <v>42</v>
      </c>
      <c r="C3" s="14" t="s">
        <v>43</v>
      </c>
      <c r="D3" s="14" t="s">
        <v>44</v>
      </c>
      <c r="E3" s="14" t="s">
        <v>45</v>
      </c>
      <c r="F3" s="14" t="s">
        <v>46</v>
      </c>
      <c r="G3" s="14" t="s">
        <v>47</v>
      </c>
    </row>
    <row r="4" spans="1:7" ht="26.4" x14ac:dyDescent="0.3">
      <c r="A4" s="15">
        <v>1</v>
      </c>
      <c r="B4" s="15" t="s">
        <v>48</v>
      </c>
      <c r="C4" s="16">
        <v>12</v>
      </c>
      <c r="D4" s="16">
        <v>5</v>
      </c>
      <c r="E4" s="17">
        <f>ABS(C4)*D4</f>
        <v>60</v>
      </c>
      <c r="F4" s="15" t="s">
        <v>49</v>
      </c>
      <c r="G4" s="15" t="s">
        <v>50</v>
      </c>
    </row>
    <row r="5" spans="1:7" ht="26.4" x14ac:dyDescent="0.3">
      <c r="A5" s="15">
        <v>2</v>
      </c>
      <c r="B5" s="15" t="s">
        <v>48</v>
      </c>
      <c r="C5" s="16">
        <v>5</v>
      </c>
      <c r="D5" s="16">
        <v>5</v>
      </c>
      <c r="E5" s="17">
        <f>ABS(C5)*D5</f>
        <v>25</v>
      </c>
      <c r="F5" s="15" t="s">
        <v>51</v>
      </c>
      <c r="G5" s="15" t="s">
        <v>50</v>
      </c>
    </row>
    <row r="6" spans="1:7" ht="26.4" x14ac:dyDescent="0.3">
      <c r="A6" s="15">
        <v>3</v>
      </c>
      <c r="B6" s="15" t="s">
        <v>48</v>
      </c>
      <c r="C6" s="16">
        <v>3.3</v>
      </c>
      <c r="D6" s="16">
        <v>3</v>
      </c>
      <c r="E6" s="17">
        <f>ABS(C6)*D6</f>
        <v>9.8999999999999986</v>
      </c>
      <c r="F6" s="15" t="s">
        <v>52</v>
      </c>
      <c r="G6" s="15" t="s">
        <v>50</v>
      </c>
    </row>
    <row r="7" spans="1:7" ht="26.4" x14ac:dyDescent="0.3">
      <c r="A7" s="15">
        <v>4</v>
      </c>
      <c r="B7" s="15" t="s">
        <v>53</v>
      </c>
      <c r="C7" s="16">
        <v>-12</v>
      </c>
      <c r="D7" s="16">
        <v>1</v>
      </c>
      <c r="E7" s="17">
        <f>ABS(C7)*D7</f>
        <v>12</v>
      </c>
      <c r="F7" s="15" t="s">
        <v>54</v>
      </c>
      <c r="G7" s="15" t="s">
        <v>50</v>
      </c>
    </row>
    <row r="8" spans="1:7" ht="26.4" x14ac:dyDescent="0.3">
      <c r="A8" s="15">
        <v>5</v>
      </c>
      <c r="B8" s="15" t="s">
        <v>55</v>
      </c>
      <c r="C8" s="16">
        <v>15</v>
      </c>
      <c r="D8" s="16">
        <v>3</v>
      </c>
      <c r="E8" s="17">
        <f>ABS(C8)*D8</f>
        <v>45</v>
      </c>
      <c r="F8" s="15" t="s">
        <v>56</v>
      </c>
      <c r="G8" s="15" t="s">
        <v>50</v>
      </c>
    </row>
    <row r="9" spans="1:7" x14ac:dyDescent="0.3">
      <c r="A9" s="18"/>
      <c r="B9" s="13" t="s">
        <v>57</v>
      </c>
      <c r="C9" s="18"/>
      <c r="D9" s="18"/>
      <c r="E9" s="19">
        <f>SUM(E4:E8)</f>
        <v>151.9</v>
      </c>
      <c r="F9" s="18"/>
      <c r="G9" s="20" t="s">
        <v>58</v>
      </c>
    </row>
    <row r="11" spans="1:7" x14ac:dyDescent="0.3">
      <c r="A11" s="14" t="s">
        <v>59</v>
      </c>
      <c r="B11" s="14" t="s">
        <v>60</v>
      </c>
      <c r="C11" s="14" t="s">
        <v>61</v>
      </c>
      <c r="D11" s="14" t="s">
        <v>62</v>
      </c>
      <c r="E11" s="14" t="s">
        <v>63</v>
      </c>
      <c r="F11" s="14" t="s">
        <v>64</v>
      </c>
      <c r="G11" s="14" t="s">
        <v>47</v>
      </c>
    </row>
    <row r="12" spans="1:7" x14ac:dyDescent="0.3">
      <c r="A12" s="81" t="s">
        <v>65</v>
      </c>
      <c r="B12" s="82"/>
      <c r="C12" s="82"/>
      <c r="D12" s="82"/>
      <c r="E12" s="82"/>
      <c r="F12" s="82"/>
      <c r="G12" s="83"/>
    </row>
    <row r="13" spans="1:7" x14ac:dyDescent="0.3">
      <c r="A13" s="15" t="s">
        <v>66</v>
      </c>
      <c r="B13" s="15" t="s">
        <v>67</v>
      </c>
      <c r="C13" s="15" t="s">
        <v>68</v>
      </c>
      <c r="D13" s="15"/>
      <c r="E13" s="15" t="s">
        <v>69</v>
      </c>
      <c r="F13" s="15" t="s">
        <v>70</v>
      </c>
      <c r="G13" s="15" t="s">
        <v>71</v>
      </c>
    </row>
    <row r="14" spans="1:7" x14ac:dyDescent="0.3">
      <c r="A14" s="15" t="s">
        <v>72</v>
      </c>
      <c r="B14" s="15" t="s">
        <v>73</v>
      </c>
      <c r="C14" s="15" t="s">
        <v>74</v>
      </c>
      <c r="D14" s="15"/>
      <c r="E14" s="15" t="s">
        <v>69</v>
      </c>
      <c r="F14" s="15" t="s">
        <v>75</v>
      </c>
      <c r="G14" s="15" t="s">
        <v>71</v>
      </c>
    </row>
    <row r="15" spans="1:7" x14ac:dyDescent="0.3">
      <c r="A15" s="15" t="s">
        <v>76</v>
      </c>
      <c r="B15" s="15" t="s">
        <v>77</v>
      </c>
      <c r="C15" s="15" t="s">
        <v>78</v>
      </c>
      <c r="D15" s="15"/>
      <c r="E15" s="15" t="s">
        <v>69</v>
      </c>
      <c r="F15" s="15" t="s">
        <v>79</v>
      </c>
      <c r="G15" s="15" t="s">
        <v>71</v>
      </c>
    </row>
    <row r="16" spans="1:7" ht="26.4" x14ac:dyDescent="0.3">
      <c r="A16" s="15" t="s">
        <v>80</v>
      </c>
      <c r="B16" s="15" t="s">
        <v>81</v>
      </c>
      <c r="C16" s="15" t="s">
        <v>82</v>
      </c>
      <c r="D16" s="15"/>
      <c r="E16" s="15" t="s">
        <v>69</v>
      </c>
      <c r="F16" s="15" t="s">
        <v>83</v>
      </c>
      <c r="G16" s="15" t="s">
        <v>84</v>
      </c>
    </row>
    <row r="17" spans="1:7" ht="26.4" x14ac:dyDescent="0.3">
      <c r="A17" s="15" t="s">
        <v>85</v>
      </c>
      <c r="B17" s="15" t="s">
        <v>86</v>
      </c>
      <c r="C17" s="15" t="s">
        <v>87</v>
      </c>
      <c r="D17" s="15"/>
      <c r="E17" s="15" t="s">
        <v>69</v>
      </c>
      <c r="F17" s="15" t="s">
        <v>88</v>
      </c>
      <c r="G17" s="15" t="s">
        <v>89</v>
      </c>
    </row>
    <row r="18" spans="1:7" x14ac:dyDescent="0.3">
      <c r="A18" s="81" t="s">
        <v>90</v>
      </c>
      <c r="B18" s="82"/>
      <c r="C18" s="82"/>
      <c r="D18" s="82"/>
      <c r="E18" s="82"/>
      <c r="F18" s="82"/>
      <c r="G18" s="83"/>
    </row>
    <row r="19" spans="1:7" x14ac:dyDescent="0.3">
      <c r="A19" s="15" t="s">
        <v>91</v>
      </c>
      <c r="B19" s="15" t="s">
        <v>92</v>
      </c>
      <c r="C19" s="21">
        <f>Calculos!$C$5</f>
        <v>120</v>
      </c>
      <c r="D19" s="15" t="s">
        <v>93</v>
      </c>
      <c r="E19" s="15" t="s">
        <v>94</v>
      </c>
      <c r="F19" s="15" t="s">
        <v>95</v>
      </c>
      <c r="G19" s="15" t="s">
        <v>96</v>
      </c>
    </row>
    <row r="20" spans="1:7" x14ac:dyDescent="0.3">
      <c r="A20" s="15" t="s">
        <v>97</v>
      </c>
      <c r="B20" s="15" t="s">
        <v>98</v>
      </c>
      <c r="C20" s="21">
        <f>Calculos!$C$6</f>
        <v>60</v>
      </c>
      <c r="D20" s="15" t="s">
        <v>99</v>
      </c>
      <c r="E20" s="15" t="s">
        <v>94</v>
      </c>
      <c r="F20" s="15"/>
      <c r="G20" s="15" t="s">
        <v>96</v>
      </c>
    </row>
    <row r="21" spans="1:7" ht="26.4" x14ac:dyDescent="0.3">
      <c r="A21" s="15" t="s">
        <v>100</v>
      </c>
      <c r="B21" s="15" t="s">
        <v>101</v>
      </c>
      <c r="C21" s="15" t="s">
        <v>102</v>
      </c>
      <c r="D21" s="15"/>
      <c r="E21" s="15" t="s">
        <v>103</v>
      </c>
      <c r="F21" s="15" t="s">
        <v>104</v>
      </c>
      <c r="G21" s="15" t="s">
        <v>105</v>
      </c>
    </row>
    <row r="22" spans="1:7" x14ac:dyDescent="0.3">
      <c r="A22" s="15" t="s">
        <v>106</v>
      </c>
      <c r="B22" s="15" t="s">
        <v>107</v>
      </c>
      <c r="C22" s="22">
        <f>Calculos!$C$22</f>
        <v>176.74533799533799</v>
      </c>
      <c r="D22" s="15" t="s">
        <v>4</v>
      </c>
      <c r="E22" s="15" t="s">
        <v>108</v>
      </c>
      <c r="F22" s="15" t="s">
        <v>109</v>
      </c>
      <c r="G22" s="15" t="s">
        <v>110</v>
      </c>
    </row>
    <row r="23" spans="1:7" x14ac:dyDescent="0.3">
      <c r="A23" s="15" t="s">
        <v>111</v>
      </c>
      <c r="B23" s="15" t="s">
        <v>112</v>
      </c>
      <c r="C23" s="22">
        <f>Calculos!$C$138</f>
        <v>205.08402739769977</v>
      </c>
      <c r="D23" s="15" t="s">
        <v>4</v>
      </c>
      <c r="E23" s="15" t="s">
        <v>108</v>
      </c>
      <c r="F23" s="15" t="s">
        <v>113</v>
      </c>
      <c r="G23" s="15" t="s">
        <v>114</v>
      </c>
    </row>
    <row r="24" spans="1:7" x14ac:dyDescent="0.3">
      <c r="A24" s="15" t="s">
        <v>115</v>
      </c>
      <c r="B24" s="15" t="s">
        <v>116</v>
      </c>
      <c r="C24" s="23">
        <f>Calculos!$C$45</f>
        <v>8.2202218329439791</v>
      </c>
      <c r="D24" s="15" t="s">
        <v>117</v>
      </c>
      <c r="E24" s="15" t="s">
        <v>108</v>
      </c>
      <c r="F24" s="15" t="s">
        <v>118</v>
      </c>
      <c r="G24" s="15" t="s">
        <v>119</v>
      </c>
    </row>
    <row r="25" spans="1:7" x14ac:dyDescent="0.3">
      <c r="A25" s="15" t="s">
        <v>120</v>
      </c>
      <c r="B25" s="15" t="s">
        <v>121</v>
      </c>
      <c r="C25" s="22">
        <f>Calculos!$C$52</f>
        <v>20.717890727893007</v>
      </c>
      <c r="D25" s="15" t="s">
        <v>10</v>
      </c>
      <c r="E25" s="15" t="s">
        <v>108</v>
      </c>
      <c r="F25" s="15" t="s">
        <v>122</v>
      </c>
      <c r="G25" s="15" t="s">
        <v>119</v>
      </c>
    </row>
    <row r="26" spans="1:7" x14ac:dyDescent="0.3">
      <c r="A26" s="15" t="s">
        <v>123</v>
      </c>
      <c r="B26" s="15" t="s">
        <v>124</v>
      </c>
      <c r="C26" s="22">
        <f>Calculos!$C$59</f>
        <v>17.892967032967032</v>
      </c>
      <c r="D26" s="15" t="s">
        <v>10</v>
      </c>
      <c r="E26" s="15" t="s">
        <v>108</v>
      </c>
      <c r="F26" s="15" t="s">
        <v>125</v>
      </c>
      <c r="G26" s="15" t="s">
        <v>119</v>
      </c>
    </row>
    <row r="27" spans="1:7" x14ac:dyDescent="0.3">
      <c r="A27" s="15" t="s">
        <v>126</v>
      </c>
      <c r="B27" s="15" t="s">
        <v>127</v>
      </c>
      <c r="C27" s="22">
        <f>Calculos!$C$63</f>
        <v>30.801642815235375</v>
      </c>
      <c r="D27" s="15" t="s">
        <v>10</v>
      </c>
      <c r="E27" s="15" t="s">
        <v>108</v>
      </c>
      <c r="F27" s="15" t="s">
        <v>128</v>
      </c>
      <c r="G27" s="15" t="s">
        <v>119</v>
      </c>
    </row>
    <row r="28" spans="1:7" x14ac:dyDescent="0.3">
      <c r="A28" s="15" t="s">
        <v>129</v>
      </c>
      <c r="B28" s="15" t="s">
        <v>130</v>
      </c>
      <c r="C28" s="22">
        <f>Calculos!$C$40</f>
        <v>3</v>
      </c>
      <c r="D28" s="15" t="s">
        <v>10</v>
      </c>
      <c r="E28" s="15" t="s">
        <v>103</v>
      </c>
      <c r="F28" s="15" t="s">
        <v>131</v>
      </c>
      <c r="G28" s="15" t="s">
        <v>132</v>
      </c>
    </row>
    <row r="29" spans="1:7" x14ac:dyDescent="0.3">
      <c r="A29" s="15" t="s">
        <v>133</v>
      </c>
      <c r="B29" s="15" t="s">
        <v>134</v>
      </c>
      <c r="C29" s="23">
        <f>Calculos!$C$51</f>
        <v>2.2833949535955496</v>
      </c>
      <c r="D29" s="15" t="s">
        <v>10</v>
      </c>
      <c r="E29" s="15" t="s">
        <v>108</v>
      </c>
      <c r="F29" s="15" t="s">
        <v>135</v>
      </c>
      <c r="G29" s="15" t="s">
        <v>119</v>
      </c>
    </row>
    <row r="30" spans="1:7" x14ac:dyDescent="0.3">
      <c r="A30" s="15" t="s">
        <v>136</v>
      </c>
      <c r="B30" s="15" t="s">
        <v>137</v>
      </c>
      <c r="C30" s="24">
        <f>Calculos!$C$49</f>
        <v>30000</v>
      </c>
      <c r="D30" s="15" t="s">
        <v>14</v>
      </c>
      <c r="E30" s="15" t="s">
        <v>103</v>
      </c>
      <c r="F30" s="15" t="s">
        <v>138</v>
      </c>
      <c r="G30" s="15" t="s">
        <v>119</v>
      </c>
    </row>
    <row r="31" spans="1:7" x14ac:dyDescent="0.3">
      <c r="A31" s="15" t="s">
        <v>139</v>
      </c>
      <c r="B31" s="15" t="s">
        <v>140</v>
      </c>
      <c r="C31" s="25">
        <f>Calculos!$C$12</f>
        <v>0.03</v>
      </c>
      <c r="D31" s="15" t="s">
        <v>141</v>
      </c>
      <c r="E31" s="15" t="s">
        <v>103</v>
      </c>
      <c r="F31" s="15" t="s">
        <v>142</v>
      </c>
      <c r="G31" s="15" t="s">
        <v>143</v>
      </c>
    </row>
    <row r="32" spans="1:7" x14ac:dyDescent="0.3">
      <c r="A32" s="15" t="s">
        <v>144</v>
      </c>
      <c r="B32" s="15" t="s">
        <v>145</v>
      </c>
      <c r="C32" s="26">
        <f>Calculos!$C$13</f>
        <v>0.01</v>
      </c>
      <c r="D32" s="15" t="s">
        <v>146</v>
      </c>
      <c r="E32" s="15" t="s">
        <v>103</v>
      </c>
      <c r="F32" s="15" t="s">
        <v>147</v>
      </c>
      <c r="G32" s="15" t="s">
        <v>148</v>
      </c>
    </row>
    <row r="33" spans="1:7" x14ac:dyDescent="0.3">
      <c r="A33" s="15" t="s">
        <v>149</v>
      </c>
      <c r="B33" s="15" t="s">
        <v>15</v>
      </c>
      <c r="C33" s="26">
        <f>Calculos!$C$139</f>
        <v>0.7406720158924659</v>
      </c>
      <c r="D33" s="15"/>
      <c r="E33" s="15" t="s">
        <v>108</v>
      </c>
      <c r="F33" s="15" t="s">
        <v>150</v>
      </c>
      <c r="G33" s="15" t="s">
        <v>114</v>
      </c>
    </row>
    <row r="34" spans="1:7" ht="26.4" x14ac:dyDescent="0.3">
      <c r="A34" s="15" t="s">
        <v>151</v>
      </c>
      <c r="B34" s="15" t="s">
        <v>152</v>
      </c>
      <c r="C34" s="15" t="s">
        <v>153</v>
      </c>
      <c r="D34" s="15"/>
      <c r="E34" s="15" t="s">
        <v>103</v>
      </c>
      <c r="F34" s="15" t="s">
        <v>154</v>
      </c>
      <c r="G34" s="15" t="s">
        <v>132</v>
      </c>
    </row>
    <row r="35" spans="1:7" x14ac:dyDescent="0.3">
      <c r="A35" s="15" t="s">
        <v>155</v>
      </c>
      <c r="B35" s="15" t="s">
        <v>156</v>
      </c>
      <c r="C35" s="21">
        <f>Calculos!$C$10</f>
        <v>40</v>
      </c>
      <c r="D35" s="15" t="s">
        <v>157</v>
      </c>
      <c r="E35" s="15" t="s">
        <v>103</v>
      </c>
      <c r="F35" s="15" t="s">
        <v>158</v>
      </c>
      <c r="G35" s="15" t="s">
        <v>159</v>
      </c>
    </row>
  </sheetData>
  <mergeCells count="3">
    <mergeCell ref="A2:G2"/>
    <mergeCell ref="A12:G12"/>
    <mergeCell ref="A18:G18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0"/>
  <sheetViews>
    <sheetView showGridLines="0" workbookViewId="0">
      <pane xSplit="2" ySplit="3" topLeftCell="C27" activePane="bottomRight" state="frozen"/>
      <selection pane="topRight"/>
      <selection pane="bottomLeft"/>
      <selection pane="bottomRight" activeCell="B37" sqref="B37"/>
    </sheetView>
  </sheetViews>
  <sheetFormatPr baseColWidth="10" defaultColWidth="8.88671875" defaultRowHeight="14.4" x14ac:dyDescent="0.3"/>
  <cols>
    <col min="1" max="1" width="9" customWidth="1"/>
    <col min="2" max="2" width="74" customWidth="1"/>
    <col min="3" max="3" width="12" customWidth="1"/>
    <col min="4" max="4" width="9" customWidth="1"/>
    <col min="5" max="5" width="15" customWidth="1"/>
    <col min="6" max="6" width="17" customWidth="1"/>
    <col min="7" max="7" width="24" customWidth="1"/>
    <col min="8" max="8" width="30" customWidth="1"/>
  </cols>
  <sheetData>
    <row r="1" spans="1:8" ht="17.399999999999999" x14ac:dyDescent="0.3">
      <c r="A1" s="1" t="s">
        <v>160</v>
      </c>
    </row>
    <row r="2" spans="1:8" ht="42" customHeight="1" x14ac:dyDescent="0.3">
      <c r="A2" s="80" t="s">
        <v>161</v>
      </c>
      <c r="B2" s="79"/>
      <c r="C2" s="79"/>
      <c r="D2" s="79"/>
      <c r="E2" s="79"/>
      <c r="F2" s="79"/>
      <c r="G2" s="79"/>
      <c r="H2" s="79"/>
    </row>
    <row r="3" spans="1:8" x14ac:dyDescent="0.3">
      <c r="A3" s="14" t="s">
        <v>59</v>
      </c>
      <c r="B3" s="14" t="s">
        <v>162</v>
      </c>
      <c r="C3" s="14" t="s">
        <v>163</v>
      </c>
      <c r="D3" s="14" t="s">
        <v>62</v>
      </c>
      <c r="E3" s="14" t="s">
        <v>164</v>
      </c>
      <c r="F3" s="14" t="s">
        <v>63</v>
      </c>
      <c r="G3" s="14" t="s">
        <v>165</v>
      </c>
      <c r="H3" s="14" t="s">
        <v>166</v>
      </c>
    </row>
    <row r="4" spans="1:8" x14ac:dyDescent="0.3">
      <c r="A4" s="81" t="s">
        <v>167</v>
      </c>
      <c r="B4" s="82"/>
      <c r="C4" s="82"/>
      <c r="D4" s="82"/>
      <c r="E4" s="82"/>
      <c r="F4" s="82"/>
      <c r="G4" s="82"/>
      <c r="H4" s="83"/>
    </row>
    <row r="5" spans="1:8" ht="26.4" x14ac:dyDescent="0.3">
      <c r="A5" s="27" t="s">
        <v>168</v>
      </c>
      <c r="B5" s="15" t="s">
        <v>169</v>
      </c>
      <c r="C5" s="28" t="s">
        <v>170</v>
      </c>
      <c r="D5" s="15"/>
      <c r="E5" s="28" t="s">
        <v>170</v>
      </c>
      <c r="F5" s="15" t="s">
        <v>171</v>
      </c>
      <c r="G5" s="15" t="s">
        <v>172</v>
      </c>
      <c r="H5" s="15" t="s">
        <v>173</v>
      </c>
    </row>
    <row r="6" spans="1:8" ht="26.4" x14ac:dyDescent="0.3">
      <c r="A6" s="27" t="s">
        <v>174</v>
      </c>
      <c r="B6" s="15" t="s">
        <v>175</v>
      </c>
      <c r="C6" s="28" t="s">
        <v>170</v>
      </c>
      <c r="D6" s="15"/>
      <c r="E6" s="28" t="s">
        <v>170</v>
      </c>
      <c r="F6" s="15" t="s">
        <v>171</v>
      </c>
      <c r="G6" s="15" t="s">
        <v>172</v>
      </c>
      <c r="H6" s="15" t="s">
        <v>176</v>
      </c>
    </row>
    <row r="7" spans="1:8" ht="26.4" x14ac:dyDescent="0.3">
      <c r="A7" s="27" t="s">
        <v>177</v>
      </c>
      <c r="B7" s="15" t="s">
        <v>178</v>
      </c>
      <c r="C7" s="28" t="s">
        <v>170</v>
      </c>
      <c r="D7" s="15"/>
      <c r="E7" s="28" t="s">
        <v>170</v>
      </c>
      <c r="F7" s="15" t="s">
        <v>171</v>
      </c>
      <c r="G7" s="15" t="s">
        <v>172</v>
      </c>
      <c r="H7" s="15" t="s">
        <v>179</v>
      </c>
    </row>
    <row r="8" spans="1:8" ht="26.4" x14ac:dyDescent="0.3">
      <c r="A8" s="27" t="s">
        <v>180</v>
      </c>
      <c r="B8" s="15" t="s">
        <v>181</v>
      </c>
      <c r="C8" s="29">
        <f>Calculos!$C$40</f>
        <v>3</v>
      </c>
      <c r="D8" s="15" t="s">
        <v>182</v>
      </c>
      <c r="E8" s="29">
        <f>Calculos!$C$51</f>
        <v>2.2833949535955496</v>
      </c>
      <c r="F8" s="15" t="str">
        <f>IF(E8&lt;=C8,"Cumple","NO CUMPLE")</f>
        <v>Cumple</v>
      </c>
      <c r="G8" s="15" t="s">
        <v>119</v>
      </c>
      <c r="H8" s="15" t="s">
        <v>183</v>
      </c>
    </row>
    <row r="9" spans="1:8" ht="26.4" x14ac:dyDescent="0.3">
      <c r="A9" s="27" t="s">
        <v>184</v>
      </c>
      <c r="B9" s="15" t="s">
        <v>185</v>
      </c>
      <c r="C9" s="30">
        <f>Calculos!$C$59</f>
        <v>17.892967032967032</v>
      </c>
      <c r="D9" s="15" t="s">
        <v>10</v>
      </c>
      <c r="E9" s="30">
        <f>Calculos!$C$52</f>
        <v>20.717890727893007</v>
      </c>
      <c r="F9" s="15" t="str">
        <f>IF(E9&gt;=C9,"Cumple","NO CUMPLE")</f>
        <v>Cumple</v>
      </c>
      <c r="G9" s="15" t="s">
        <v>119</v>
      </c>
      <c r="H9" s="15" t="s">
        <v>186</v>
      </c>
    </row>
    <row r="10" spans="1:8" ht="26.4" x14ac:dyDescent="0.3">
      <c r="A10" s="27" t="s">
        <v>187</v>
      </c>
      <c r="B10" s="15" t="s">
        <v>188</v>
      </c>
      <c r="C10" s="30">
        <f>Calculos!$C$64</f>
        <v>40</v>
      </c>
      <c r="D10" s="15" t="s">
        <v>10</v>
      </c>
      <c r="E10" s="30">
        <f>Calculos!$C$63</f>
        <v>30.801642815235375</v>
      </c>
      <c r="F10" s="15" t="str">
        <f>IF(E10&lt;=C10,"Cumple","NO CUMPLE")</f>
        <v>Cumple</v>
      </c>
      <c r="G10" s="15" t="s">
        <v>119</v>
      </c>
      <c r="H10" s="15" t="s">
        <v>143</v>
      </c>
    </row>
    <row r="11" spans="1:8" ht="26.4" x14ac:dyDescent="0.3">
      <c r="A11" s="27" t="s">
        <v>189</v>
      </c>
      <c r="B11" s="15" t="s">
        <v>190</v>
      </c>
      <c r="C11" s="30">
        <f>Calculos!$C$73</f>
        <v>14.796399299299162</v>
      </c>
      <c r="D11" s="15" t="s">
        <v>191</v>
      </c>
      <c r="E11" s="30">
        <f>Calculos!$C$30</f>
        <v>20</v>
      </c>
      <c r="F11" s="15" t="str">
        <f>IF(E11&gt;=C11,"Cumple","NO CUMPLE")</f>
        <v>Cumple</v>
      </c>
      <c r="G11" s="15" t="s">
        <v>192</v>
      </c>
      <c r="H11" s="15" t="s">
        <v>132</v>
      </c>
    </row>
    <row r="12" spans="1:8" x14ac:dyDescent="0.3">
      <c r="A12" s="81" t="s">
        <v>193</v>
      </c>
      <c r="B12" s="82"/>
      <c r="C12" s="82"/>
      <c r="D12" s="82"/>
      <c r="E12" s="82"/>
      <c r="F12" s="82"/>
      <c r="G12" s="82"/>
      <c r="H12" s="83"/>
    </row>
    <row r="13" spans="1:8" ht="26.4" x14ac:dyDescent="0.3">
      <c r="A13" s="27" t="s">
        <v>194</v>
      </c>
      <c r="B13" s="15" t="s">
        <v>195</v>
      </c>
      <c r="C13" s="31">
        <v>5</v>
      </c>
      <c r="D13" s="15" t="s">
        <v>117</v>
      </c>
      <c r="E13" s="29">
        <f>Convertidores!$C$44</f>
        <v>5.1022119063731699</v>
      </c>
      <c r="F13" s="15" t="str">
        <f>IF(E13&gt;=C13,"Cumple","NO CUMPLE")</f>
        <v>Cumple</v>
      </c>
      <c r="G13" s="15" t="s">
        <v>196</v>
      </c>
      <c r="H13" s="15" t="s">
        <v>197</v>
      </c>
    </row>
    <row r="14" spans="1:8" ht="26.4" x14ac:dyDescent="0.3">
      <c r="A14" s="27" t="s">
        <v>198</v>
      </c>
      <c r="B14" s="15" t="s">
        <v>199</v>
      </c>
      <c r="C14" s="31">
        <v>5</v>
      </c>
      <c r="D14" s="15" t="s">
        <v>117</v>
      </c>
      <c r="E14" s="29">
        <f>Convertidores!$D$44</f>
        <v>5.3553574558430768</v>
      </c>
      <c r="F14" s="15" t="str">
        <f>IF(E14&gt;=C14,"Cumple","NO CUMPLE")</f>
        <v>Cumple</v>
      </c>
      <c r="G14" s="15" t="s">
        <v>196</v>
      </c>
      <c r="H14" s="15" t="s">
        <v>197</v>
      </c>
    </row>
    <row r="15" spans="1:8" ht="26.4" x14ac:dyDescent="0.3">
      <c r="A15" s="27" t="s">
        <v>200</v>
      </c>
      <c r="B15" s="15" t="s">
        <v>201</v>
      </c>
      <c r="C15" s="31">
        <v>3</v>
      </c>
      <c r="D15" s="15" t="s">
        <v>117</v>
      </c>
      <c r="E15" s="29">
        <f>Convertidores!$E$44</f>
        <v>5.4586263095580962</v>
      </c>
      <c r="F15" s="15" t="str">
        <f>IF(E15&gt;=C15,"Cumple","NO CUMPLE")</f>
        <v>Cumple</v>
      </c>
      <c r="G15" s="15" t="s">
        <v>196</v>
      </c>
      <c r="H15" s="15" t="s">
        <v>197</v>
      </c>
    </row>
    <row r="16" spans="1:8" ht="26.4" x14ac:dyDescent="0.3">
      <c r="A16" s="27" t="s">
        <v>202</v>
      </c>
      <c r="B16" s="15" t="s">
        <v>203</v>
      </c>
      <c r="C16" s="31">
        <v>1</v>
      </c>
      <c r="D16" s="15" t="s">
        <v>117</v>
      </c>
      <c r="E16" s="29">
        <f>Convertidores!$F$44</f>
        <v>2.9838782499457519</v>
      </c>
      <c r="F16" s="15" t="str">
        <f>IF(E16&gt;=C16,"Cumple","NO CUMPLE")</f>
        <v>Cumple</v>
      </c>
      <c r="G16" s="15" t="s">
        <v>196</v>
      </c>
      <c r="H16" s="15" t="s">
        <v>197</v>
      </c>
    </row>
    <row r="17" spans="1:8" ht="26.4" x14ac:dyDescent="0.3">
      <c r="A17" s="27" t="s">
        <v>204</v>
      </c>
      <c r="B17" s="15" t="s">
        <v>205</v>
      </c>
      <c r="C17" s="31">
        <v>3</v>
      </c>
      <c r="D17" s="15" t="s">
        <v>117</v>
      </c>
      <c r="E17" s="29">
        <f>Convertidores!$G$44</f>
        <v>5.4334949595823021</v>
      </c>
      <c r="F17" s="15" t="str">
        <f>IF(E17&gt;=C17,"Cumple","NO CUMPLE")</f>
        <v>Cumple</v>
      </c>
      <c r="G17" s="15" t="s">
        <v>196</v>
      </c>
      <c r="H17" s="15" t="s">
        <v>197</v>
      </c>
    </row>
    <row r="18" spans="1:8" x14ac:dyDescent="0.3">
      <c r="A18" s="27" t="s">
        <v>206</v>
      </c>
      <c r="B18" s="15" t="s">
        <v>207</v>
      </c>
      <c r="C18" s="32">
        <v>1.25</v>
      </c>
      <c r="D18" s="15" t="s">
        <v>10</v>
      </c>
      <c r="E18" s="33">
        <f>Calculos!$C$132</f>
        <v>1.2491510710259301</v>
      </c>
      <c r="F18" s="15" t="str">
        <f>IF(E18&lt;=C18,"Cumple","NO CUMPLE")</f>
        <v>Cumple</v>
      </c>
      <c r="G18" s="15" t="s">
        <v>208</v>
      </c>
      <c r="H18" s="15" t="s">
        <v>197</v>
      </c>
    </row>
    <row r="19" spans="1:8" x14ac:dyDescent="0.3">
      <c r="A19" s="27" t="s">
        <v>209</v>
      </c>
      <c r="B19" s="15" t="s">
        <v>210</v>
      </c>
      <c r="C19" s="31">
        <v>14.7</v>
      </c>
      <c r="D19" s="15" t="s">
        <v>10</v>
      </c>
      <c r="E19" s="29">
        <f>Calculos!$C$133</f>
        <v>14.890639233370914</v>
      </c>
      <c r="F19" s="15" t="str">
        <f>IF(E19&gt;=C19,"Cumple","NO CUMPLE")</f>
        <v>Cumple</v>
      </c>
      <c r="G19" s="15" t="s">
        <v>208</v>
      </c>
      <c r="H19" s="15" t="s">
        <v>197</v>
      </c>
    </row>
    <row r="20" spans="1:8" x14ac:dyDescent="0.3">
      <c r="A20" s="27" t="s">
        <v>211</v>
      </c>
      <c r="B20" s="15" t="s">
        <v>212</v>
      </c>
      <c r="C20" s="28" t="s">
        <v>170</v>
      </c>
      <c r="D20" s="15"/>
      <c r="E20" s="28" t="s">
        <v>170</v>
      </c>
      <c r="F20" s="15" t="s">
        <v>171</v>
      </c>
      <c r="G20" s="15" t="s">
        <v>172</v>
      </c>
      <c r="H20" s="15" t="s">
        <v>132</v>
      </c>
    </row>
    <row r="21" spans="1:8" ht="26.4" x14ac:dyDescent="0.3">
      <c r="A21" s="27" t="s">
        <v>213</v>
      </c>
      <c r="B21" s="15" t="s">
        <v>214</v>
      </c>
      <c r="C21" s="28" t="s">
        <v>170</v>
      </c>
      <c r="D21" s="15"/>
      <c r="E21" s="28" t="s">
        <v>170</v>
      </c>
      <c r="F21" s="15" t="s">
        <v>171</v>
      </c>
      <c r="G21" s="15" t="s">
        <v>172</v>
      </c>
      <c r="H21" s="15" t="s">
        <v>89</v>
      </c>
    </row>
    <row r="22" spans="1:8" x14ac:dyDescent="0.3">
      <c r="A22" s="27" t="s">
        <v>215</v>
      </c>
      <c r="B22" s="15" t="s">
        <v>216</v>
      </c>
      <c r="C22" s="28" t="s">
        <v>170</v>
      </c>
      <c r="D22" s="15"/>
      <c r="E22" s="28" t="s">
        <v>170</v>
      </c>
      <c r="F22" s="15" t="s">
        <v>171</v>
      </c>
      <c r="G22" s="15" t="s">
        <v>172</v>
      </c>
      <c r="H22" s="15" t="s">
        <v>217</v>
      </c>
    </row>
    <row r="23" spans="1:8" ht="26.4" x14ac:dyDescent="0.3">
      <c r="A23" s="27" t="s">
        <v>218</v>
      </c>
      <c r="B23" s="15" t="s">
        <v>219</v>
      </c>
      <c r="C23" s="30">
        <f>Calculos!$C$19</f>
        <v>151.9</v>
      </c>
      <c r="D23" s="15" t="s">
        <v>4</v>
      </c>
      <c r="E23" s="30">
        <f>Calculos!$C$20</f>
        <v>151.9</v>
      </c>
      <c r="F23" s="15" t="str">
        <f>IF(E23&gt;=C23,"Cumple","NO CUMPLE")</f>
        <v>Cumple</v>
      </c>
      <c r="G23" s="15" t="s">
        <v>220</v>
      </c>
      <c r="H23" s="15" t="s">
        <v>217</v>
      </c>
    </row>
    <row r="24" spans="1:8" ht="26.4" x14ac:dyDescent="0.3">
      <c r="A24" s="27" t="s">
        <v>221</v>
      </c>
      <c r="B24" s="15" t="s">
        <v>222</v>
      </c>
      <c r="C24" s="28" t="s">
        <v>170</v>
      </c>
      <c r="D24" s="15"/>
      <c r="E24" s="28" t="s">
        <v>170</v>
      </c>
      <c r="F24" s="15" t="s">
        <v>171</v>
      </c>
      <c r="G24" s="15" t="s">
        <v>223</v>
      </c>
      <c r="H24" s="15" t="s">
        <v>224</v>
      </c>
    </row>
    <row r="25" spans="1:8" x14ac:dyDescent="0.3">
      <c r="A25" s="81" t="s">
        <v>225</v>
      </c>
      <c r="B25" s="82"/>
      <c r="C25" s="82"/>
      <c r="D25" s="82"/>
      <c r="E25" s="82"/>
      <c r="F25" s="82"/>
      <c r="G25" s="82"/>
      <c r="H25" s="83"/>
    </row>
    <row r="26" spans="1:8" x14ac:dyDescent="0.3">
      <c r="A26" s="27" t="s">
        <v>226</v>
      </c>
      <c r="B26" s="15" t="s">
        <v>227</v>
      </c>
      <c r="C26" s="28" t="s">
        <v>170</v>
      </c>
      <c r="D26" s="15"/>
      <c r="E26" s="28" t="s">
        <v>170</v>
      </c>
      <c r="F26" s="15" t="s">
        <v>171</v>
      </c>
      <c r="G26" s="15" t="s">
        <v>172</v>
      </c>
      <c r="H26" s="15" t="s">
        <v>132</v>
      </c>
    </row>
    <row r="27" spans="1:8" ht="26.4" x14ac:dyDescent="0.3">
      <c r="A27" s="27" t="s">
        <v>228</v>
      </c>
      <c r="B27" s="15" t="s">
        <v>229</v>
      </c>
      <c r="C27" s="29">
        <f>Calculos!$C$92</f>
        <v>3.4265345745745432</v>
      </c>
      <c r="D27" s="15" t="s">
        <v>117</v>
      </c>
      <c r="E27" s="29">
        <f>Calculos!$C$93</f>
        <v>4</v>
      </c>
      <c r="F27" s="15" t="str">
        <f>IF(E27&gt;=C27,"Cumple","NO CUMPLE")</f>
        <v>Cumple</v>
      </c>
      <c r="G27" s="15" t="s">
        <v>230</v>
      </c>
      <c r="H27" s="15" t="s">
        <v>89</v>
      </c>
    </row>
    <row r="28" spans="1:8" x14ac:dyDescent="0.3">
      <c r="A28" s="27" t="s">
        <v>231</v>
      </c>
      <c r="B28" s="15" t="s">
        <v>232</v>
      </c>
      <c r="C28" s="30">
        <f>Calculos!$C$117</f>
        <v>10.960295777258638</v>
      </c>
      <c r="D28" s="15" t="s">
        <v>117</v>
      </c>
      <c r="E28" s="30">
        <f>Calculos!$C$118</f>
        <v>15</v>
      </c>
      <c r="F28" s="15" t="str">
        <f>IF(E28&gt;=C28,"Cumple","NO CUMPLE")</f>
        <v>Cumple</v>
      </c>
      <c r="G28" s="15" t="s">
        <v>233</v>
      </c>
      <c r="H28" s="15" t="s">
        <v>89</v>
      </c>
    </row>
    <row r="29" spans="1:8" ht="26.4" x14ac:dyDescent="0.3">
      <c r="A29" s="27" t="s">
        <v>234</v>
      </c>
      <c r="B29" s="15" t="s">
        <v>235</v>
      </c>
      <c r="C29" s="28" t="s">
        <v>170</v>
      </c>
      <c r="D29" s="15"/>
      <c r="E29" s="28" t="s">
        <v>170</v>
      </c>
      <c r="F29" s="15" t="s">
        <v>171</v>
      </c>
      <c r="G29" s="15" t="s">
        <v>236</v>
      </c>
      <c r="H29" s="15" t="s">
        <v>89</v>
      </c>
    </row>
    <row r="30" spans="1:8" ht="26.4" x14ac:dyDescent="0.3">
      <c r="A30" s="27" t="s">
        <v>237</v>
      </c>
      <c r="B30" s="15" t="s">
        <v>238</v>
      </c>
      <c r="C30" s="34">
        <v>5</v>
      </c>
      <c r="D30" s="15" t="s">
        <v>117</v>
      </c>
      <c r="E30" s="34">
        <v>15</v>
      </c>
      <c r="F30" s="15" t="str">
        <f>IF(E30&gt;=C30,"Cumple","NO CUMPLE")</f>
        <v>Cumple</v>
      </c>
      <c r="G30" s="15" t="s">
        <v>172</v>
      </c>
      <c r="H30" s="15" t="s">
        <v>239</v>
      </c>
    </row>
  </sheetData>
  <mergeCells count="4">
    <mergeCell ref="A12:H12"/>
    <mergeCell ref="A4:H4"/>
    <mergeCell ref="A2:H2"/>
    <mergeCell ref="A25:H25"/>
  </mergeCells>
  <conditionalFormatting sqref="F4:F31">
    <cfRule type="expression" dxfId="9" priority="1">
      <formula>OR(ISNUMBER(SEARCH("REVISAR",F4)),ISNUMBER(SEARCH("NO CUMPLE",F4)),ISNUMBER(SEARCH("No cumple",F4)))</formula>
    </cfRule>
    <cfRule type="expression" dxfId="8" priority="2">
      <formula>OR(LEFT(F4,2)="OK",F4="Cumple")</formula>
    </cfRule>
  </conditionalFormatting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8"/>
  <sheetViews>
    <sheetView showGridLines="0" workbookViewId="0">
      <pane xSplit="2" ySplit="3" topLeftCell="C10" activePane="bottomRight" state="frozen"/>
      <selection pane="topRight"/>
      <selection pane="bottomLeft"/>
      <selection pane="bottomRight" activeCell="B5" sqref="B5"/>
    </sheetView>
  </sheetViews>
  <sheetFormatPr baseColWidth="10" defaultColWidth="8.88671875" defaultRowHeight="14.4" x14ac:dyDescent="0.3"/>
  <cols>
    <col min="1" max="1" width="9" customWidth="1"/>
    <col min="2" max="2" width="74" customWidth="1"/>
    <col min="3" max="3" width="12" customWidth="1"/>
    <col min="4" max="4" width="9" customWidth="1"/>
    <col min="5" max="5" width="15" customWidth="1"/>
    <col min="6" max="6" width="17" customWidth="1"/>
    <col min="7" max="7" width="24" customWidth="1"/>
    <col min="8" max="8" width="30" customWidth="1"/>
  </cols>
  <sheetData>
    <row r="1" spans="1:8" ht="17.399999999999999" x14ac:dyDescent="0.3">
      <c r="A1" s="1" t="s">
        <v>240</v>
      </c>
    </row>
    <row r="2" spans="1:8" ht="42" customHeight="1" x14ac:dyDescent="0.3">
      <c r="A2" s="80" t="s">
        <v>241</v>
      </c>
      <c r="B2" s="79"/>
      <c r="C2" s="79"/>
      <c r="D2" s="79"/>
      <c r="E2" s="79"/>
      <c r="F2" s="79"/>
      <c r="G2" s="79"/>
      <c r="H2" s="79"/>
    </row>
    <row r="3" spans="1:8" x14ac:dyDescent="0.3">
      <c r="A3" s="14" t="s">
        <v>59</v>
      </c>
      <c r="B3" s="14" t="s">
        <v>162</v>
      </c>
      <c r="C3" s="14" t="s">
        <v>163</v>
      </c>
      <c r="D3" s="14" t="s">
        <v>62</v>
      </c>
      <c r="E3" s="14" t="s">
        <v>164</v>
      </c>
      <c r="F3" s="14" t="s">
        <v>63</v>
      </c>
      <c r="G3" s="14" t="s">
        <v>165</v>
      </c>
      <c r="H3" s="14" t="s">
        <v>166</v>
      </c>
    </row>
    <row r="4" spans="1:8" x14ac:dyDescent="0.3">
      <c r="A4" s="81" t="s">
        <v>242</v>
      </c>
      <c r="B4" s="82"/>
      <c r="C4" s="82"/>
      <c r="D4" s="82"/>
      <c r="E4" s="82"/>
      <c r="F4" s="82"/>
      <c r="G4" s="82"/>
      <c r="H4" s="83"/>
    </row>
    <row r="5" spans="1:8" ht="26.4" x14ac:dyDescent="0.3">
      <c r="A5" s="27" t="s">
        <v>243</v>
      </c>
      <c r="B5" s="15" t="s">
        <v>244</v>
      </c>
      <c r="C5" s="35">
        <v>1500</v>
      </c>
      <c r="D5" s="15" t="s">
        <v>10</v>
      </c>
      <c r="E5" s="36">
        <f>Calculos!$C$36</f>
        <v>3500</v>
      </c>
      <c r="F5" s="15" t="str">
        <f>IF(E5&gt;=C5,"Cumple","NO CUMPLE")</f>
        <v>Cumple</v>
      </c>
      <c r="G5" s="15" t="s">
        <v>245</v>
      </c>
      <c r="H5" s="15" t="s">
        <v>246</v>
      </c>
    </row>
    <row r="6" spans="1:8" x14ac:dyDescent="0.3">
      <c r="A6" s="27" t="s">
        <v>247</v>
      </c>
      <c r="B6" s="15" t="s">
        <v>248</v>
      </c>
      <c r="C6" s="37">
        <v>60</v>
      </c>
      <c r="D6" s="15" t="s">
        <v>10</v>
      </c>
      <c r="E6" s="30">
        <f>Calculos!$C$63</f>
        <v>30.801642815235375</v>
      </c>
      <c r="F6" s="15" t="str">
        <f>IF(E6&lt;=C6,"Cumple","NO CUMPLE")</f>
        <v>Cumple</v>
      </c>
      <c r="G6" s="15" t="s">
        <v>119</v>
      </c>
      <c r="H6" s="15" t="s">
        <v>249</v>
      </c>
    </row>
    <row r="7" spans="1:8" ht="26.4" x14ac:dyDescent="0.3">
      <c r="A7" s="27" t="s">
        <v>250</v>
      </c>
      <c r="B7" s="15" t="s">
        <v>251</v>
      </c>
      <c r="C7" s="28" t="s">
        <v>170</v>
      </c>
      <c r="D7" s="15"/>
      <c r="E7" s="28" t="s">
        <v>170</v>
      </c>
      <c r="F7" s="15" t="s">
        <v>171</v>
      </c>
      <c r="G7" s="15" t="s">
        <v>172</v>
      </c>
      <c r="H7" s="15" t="s">
        <v>132</v>
      </c>
    </row>
    <row r="8" spans="1:8" ht="26.4" x14ac:dyDescent="0.3">
      <c r="A8" s="27" t="s">
        <v>252</v>
      </c>
      <c r="B8" s="15" t="s">
        <v>253</v>
      </c>
      <c r="C8" s="31">
        <v>0.75</v>
      </c>
      <c r="D8" s="15"/>
      <c r="E8" s="29">
        <f>Calculos!$C$17</f>
        <v>0.75</v>
      </c>
      <c r="F8" s="15" t="str">
        <f>IF(E8&lt;=C8,"Cumple","NO CUMPLE")</f>
        <v>Cumple</v>
      </c>
      <c r="G8" s="15" t="s">
        <v>254</v>
      </c>
      <c r="H8" s="15" t="s">
        <v>255</v>
      </c>
    </row>
    <row r="9" spans="1:8" x14ac:dyDescent="0.3">
      <c r="A9" s="27" t="s">
        <v>256</v>
      </c>
      <c r="B9" s="15" t="s">
        <v>257</v>
      </c>
      <c r="C9" s="31">
        <v>1.25</v>
      </c>
      <c r="D9" s="15" t="s">
        <v>258</v>
      </c>
      <c r="E9" s="29">
        <f>Calculos!$C$68</f>
        <v>1.6232900400776211</v>
      </c>
      <c r="F9" s="15" t="str">
        <f>IF(E9&gt;=C9,"Cumple","NO CUMPLE")</f>
        <v>Cumple</v>
      </c>
      <c r="G9" s="15" t="s">
        <v>119</v>
      </c>
      <c r="H9" s="15" t="s">
        <v>255</v>
      </c>
    </row>
    <row r="10" spans="1:8" x14ac:dyDescent="0.3">
      <c r="A10" s="81" t="s">
        <v>259</v>
      </c>
      <c r="B10" s="82"/>
      <c r="C10" s="82"/>
      <c r="D10" s="82"/>
      <c r="E10" s="82"/>
      <c r="F10" s="82"/>
      <c r="G10" s="82"/>
      <c r="H10" s="83"/>
    </row>
    <row r="11" spans="1:8" ht="26.4" x14ac:dyDescent="0.3">
      <c r="A11" s="27" t="s">
        <v>260</v>
      </c>
      <c r="B11" s="15" t="s">
        <v>261</v>
      </c>
      <c r="C11" s="38">
        <v>0.03</v>
      </c>
      <c r="D11" s="15" t="s">
        <v>141</v>
      </c>
      <c r="E11" s="39">
        <f>Calculos!$C$12</f>
        <v>0.03</v>
      </c>
      <c r="F11" s="15" t="str">
        <f>IF(E11&lt;=C11,"Cumple","NO CUMPLE")</f>
        <v>Cumple</v>
      </c>
      <c r="G11" s="15" t="s">
        <v>196</v>
      </c>
      <c r="H11" s="15" t="s">
        <v>262</v>
      </c>
    </row>
    <row r="12" spans="1:8" ht="26.4" x14ac:dyDescent="0.3">
      <c r="A12" s="27" t="s">
        <v>263</v>
      </c>
      <c r="B12" s="15" t="s">
        <v>264</v>
      </c>
      <c r="C12" s="40">
        <f>Calculos!$C$13</f>
        <v>0.01</v>
      </c>
      <c r="D12" s="15" t="s">
        <v>146</v>
      </c>
      <c r="E12" s="40">
        <f>MAX(Convertidores!C52:G52)</f>
        <v>9.4714210597661667E-3</v>
      </c>
      <c r="F12" s="15" t="str">
        <f>IF(E12&lt;=C12,"Cumple","NO CUMPLE")</f>
        <v>Cumple</v>
      </c>
      <c r="G12" s="15" t="s">
        <v>265</v>
      </c>
      <c r="H12" s="15" t="s">
        <v>217</v>
      </c>
    </row>
    <row r="13" spans="1:8" ht="26.4" x14ac:dyDescent="0.3">
      <c r="A13" s="27" t="s">
        <v>266</v>
      </c>
      <c r="B13" s="15" t="s">
        <v>267</v>
      </c>
      <c r="C13" s="41">
        <f>Calculos!$C$140</f>
        <v>0.7</v>
      </c>
      <c r="D13" s="15"/>
      <c r="E13" s="41">
        <f>Calculos!$C$139</f>
        <v>0.7406720158924659</v>
      </c>
      <c r="F13" s="15" t="str">
        <f>IF(E13&gt;=C13,"Cumple","NO CUMPLE")</f>
        <v>Cumple</v>
      </c>
      <c r="G13" s="15" t="s">
        <v>268</v>
      </c>
      <c r="H13" s="15" t="s">
        <v>217</v>
      </c>
    </row>
    <row r="14" spans="1:8" x14ac:dyDescent="0.3">
      <c r="A14" s="27" t="s">
        <v>269</v>
      </c>
      <c r="B14" s="15" t="s">
        <v>270</v>
      </c>
      <c r="C14" s="42">
        <v>0.8</v>
      </c>
      <c r="D14" s="15"/>
      <c r="E14" s="41">
        <f>Calculos!$C$23</f>
        <v>0.85942860910994257</v>
      </c>
      <c r="F14" s="15" t="str">
        <f>IF(E14&gt;=C14,"Cumple","NO CUMPLE")</f>
        <v>Cumple</v>
      </c>
      <c r="G14" s="15" t="s">
        <v>271</v>
      </c>
      <c r="H14" s="15" t="s">
        <v>132</v>
      </c>
    </row>
    <row r="15" spans="1:8" ht="26.4" x14ac:dyDescent="0.3">
      <c r="A15" s="27" t="s">
        <v>272</v>
      </c>
      <c r="B15" s="15" t="s">
        <v>273</v>
      </c>
      <c r="C15" s="39">
        <f>1/(1+Calculos!$C$75)</f>
        <v>0.83333333333333337</v>
      </c>
      <c r="D15" s="15"/>
      <c r="E15" s="39">
        <f>Calculos!$C$79</f>
        <v>0.73981996496495817</v>
      </c>
      <c r="F15" s="15" t="str">
        <f>IF(E15&lt;=C15,"Cumple","NO CUMPLE")</f>
        <v>Cumple</v>
      </c>
      <c r="G15" s="15" t="s">
        <v>192</v>
      </c>
      <c r="H15" s="15" t="s">
        <v>132</v>
      </c>
    </row>
    <row r="16" spans="1:8" ht="39.6" x14ac:dyDescent="0.3">
      <c r="A16" s="27" t="s">
        <v>274</v>
      </c>
      <c r="B16" s="15" t="s">
        <v>275</v>
      </c>
      <c r="C16" s="28" t="s">
        <v>170</v>
      </c>
      <c r="D16" s="15"/>
      <c r="E16" s="28" t="s">
        <v>170</v>
      </c>
      <c r="F16" s="15" t="s">
        <v>276</v>
      </c>
      <c r="G16" s="15" t="s">
        <v>277</v>
      </c>
      <c r="H16" s="15" t="s">
        <v>143</v>
      </c>
    </row>
    <row r="17" spans="1:8" x14ac:dyDescent="0.3">
      <c r="A17" s="81" t="s">
        <v>278</v>
      </c>
      <c r="B17" s="82"/>
      <c r="C17" s="82"/>
      <c r="D17" s="82"/>
      <c r="E17" s="82"/>
      <c r="F17" s="82"/>
      <c r="G17" s="82"/>
      <c r="H17" s="83"/>
    </row>
    <row r="18" spans="1:8" ht="26.4" x14ac:dyDescent="0.3">
      <c r="A18" s="27" t="s">
        <v>279</v>
      </c>
      <c r="B18" s="15" t="s">
        <v>280</v>
      </c>
      <c r="C18" s="30">
        <f>Calculos!$C$11</f>
        <v>125</v>
      </c>
      <c r="D18" s="15" t="s">
        <v>157</v>
      </c>
      <c r="E18" s="30">
        <f>MAX(Convertidores!C76:G76)</f>
        <v>112</v>
      </c>
      <c r="F18" s="15" t="str">
        <f>IF(E18&lt;=C18,"Cumple","NO CUMPLE")</f>
        <v>Cumple</v>
      </c>
      <c r="G18" s="15" t="s">
        <v>281</v>
      </c>
      <c r="H18" s="15" t="s">
        <v>282</v>
      </c>
    </row>
    <row r="19" spans="1:8" x14ac:dyDescent="0.3">
      <c r="A19" s="27" t="s">
        <v>283</v>
      </c>
      <c r="B19" s="15" t="s">
        <v>284</v>
      </c>
      <c r="C19" s="29">
        <f>Calculos!$C$113</f>
        <v>3.6001607038780437</v>
      </c>
      <c r="D19" s="15" t="s">
        <v>285</v>
      </c>
      <c r="E19" s="29">
        <f>Calculos!$C$114</f>
        <v>3</v>
      </c>
      <c r="F19" s="15" t="str">
        <f>IF(E19&lt;=C19,"Cumple","NO CUMPLE")</f>
        <v>Cumple</v>
      </c>
      <c r="G19" s="15" t="s">
        <v>286</v>
      </c>
      <c r="H19" s="15" t="s">
        <v>287</v>
      </c>
    </row>
    <row r="20" spans="1:8" x14ac:dyDescent="0.3">
      <c r="A20" s="27" t="s">
        <v>288</v>
      </c>
      <c r="B20" s="15" t="s">
        <v>289</v>
      </c>
      <c r="C20" s="35">
        <v>5000</v>
      </c>
      <c r="D20" s="15" t="s">
        <v>290</v>
      </c>
      <c r="E20" s="35">
        <v>5000</v>
      </c>
      <c r="F20" s="15" t="str">
        <f>IF(E20&gt;=C20,"Cumple","NO CUMPLE")</f>
        <v>Cumple</v>
      </c>
      <c r="G20" s="15" t="s">
        <v>282</v>
      </c>
      <c r="H20" s="15" t="s">
        <v>291</v>
      </c>
    </row>
    <row r="21" spans="1:8" x14ac:dyDescent="0.3">
      <c r="A21" s="27" t="s">
        <v>292</v>
      </c>
      <c r="B21" s="15" t="s">
        <v>293</v>
      </c>
      <c r="C21" s="34">
        <v>20</v>
      </c>
      <c r="D21" s="15" t="s">
        <v>157</v>
      </c>
      <c r="E21" s="43">
        <f>Calculos!$C$146</f>
        <v>20</v>
      </c>
      <c r="F21" s="15" t="str">
        <f>IF(E21&lt;=C21,"Cumple","NO CUMPLE")</f>
        <v>Cumple</v>
      </c>
      <c r="G21" s="15" t="s">
        <v>294</v>
      </c>
      <c r="H21" s="15" t="s">
        <v>295</v>
      </c>
    </row>
    <row r="22" spans="1:8" ht="26.4" x14ac:dyDescent="0.3">
      <c r="A22" s="27" t="s">
        <v>296</v>
      </c>
      <c r="B22" s="15" t="s">
        <v>297</v>
      </c>
      <c r="C22" s="28" t="s">
        <v>170</v>
      </c>
      <c r="D22" s="15" t="s">
        <v>4</v>
      </c>
      <c r="E22" s="30">
        <f>Calculos!$C$142</f>
        <v>53.184027397699765</v>
      </c>
      <c r="F22" s="15" t="s">
        <v>171</v>
      </c>
      <c r="G22" s="15" t="s">
        <v>298</v>
      </c>
      <c r="H22" s="15" t="s">
        <v>114</v>
      </c>
    </row>
    <row r="23" spans="1:8" x14ac:dyDescent="0.3">
      <c r="A23" s="81" t="s">
        <v>299</v>
      </c>
      <c r="B23" s="82"/>
      <c r="C23" s="82"/>
      <c r="D23" s="82"/>
      <c r="E23" s="82"/>
      <c r="F23" s="82"/>
      <c r="G23" s="82"/>
      <c r="H23" s="83"/>
    </row>
    <row r="24" spans="1:8" ht="26.4" x14ac:dyDescent="0.3">
      <c r="A24" s="27" t="s">
        <v>300</v>
      </c>
      <c r="B24" s="15" t="s">
        <v>301</v>
      </c>
      <c r="C24" s="28" t="s">
        <v>170</v>
      </c>
      <c r="D24" s="15"/>
      <c r="E24" s="28" t="s">
        <v>170</v>
      </c>
      <c r="F24" s="15" t="s">
        <v>171</v>
      </c>
      <c r="G24" s="15" t="s">
        <v>302</v>
      </c>
      <c r="H24" s="15" t="s">
        <v>303</v>
      </c>
    </row>
    <row r="25" spans="1:8" ht="26.4" x14ac:dyDescent="0.3">
      <c r="A25" s="27" t="s">
        <v>304</v>
      </c>
      <c r="B25" s="15" t="s">
        <v>305</v>
      </c>
      <c r="C25" s="28" t="s">
        <v>170</v>
      </c>
      <c r="D25" s="15"/>
      <c r="E25" s="28" t="s">
        <v>170</v>
      </c>
      <c r="F25" s="15" t="s">
        <v>171</v>
      </c>
      <c r="G25" s="15" t="s">
        <v>172</v>
      </c>
      <c r="H25" s="15" t="s">
        <v>306</v>
      </c>
    </row>
    <row r="26" spans="1:8" ht="26.4" x14ac:dyDescent="0.3">
      <c r="A26" s="27" t="s">
        <v>307</v>
      </c>
      <c r="B26" s="15" t="s">
        <v>308</v>
      </c>
      <c r="C26" s="28" t="s">
        <v>170</v>
      </c>
      <c r="D26" s="15"/>
      <c r="E26" s="28" t="s">
        <v>170</v>
      </c>
      <c r="F26" s="15" t="s">
        <v>171</v>
      </c>
      <c r="G26" s="15" t="s">
        <v>172</v>
      </c>
      <c r="H26" s="15" t="s">
        <v>309</v>
      </c>
    </row>
    <row r="27" spans="1:8" ht="26.4" x14ac:dyDescent="0.3">
      <c r="A27" s="27" t="s">
        <v>310</v>
      </c>
      <c r="B27" s="15" t="s">
        <v>311</v>
      </c>
      <c r="C27" s="28" t="s">
        <v>170</v>
      </c>
      <c r="D27" s="15"/>
      <c r="E27" s="28" t="s">
        <v>170</v>
      </c>
      <c r="F27" s="15" t="s">
        <v>171</v>
      </c>
      <c r="G27" s="15" t="s">
        <v>172</v>
      </c>
      <c r="H27" s="15" t="s">
        <v>312</v>
      </c>
    </row>
    <row r="28" spans="1:8" ht="26.4" x14ac:dyDescent="0.3">
      <c r="A28" s="27" t="s">
        <v>313</v>
      </c>
      <c r="B28" s="15" t="s">
        <v>314</v>
      </c>
      <c r="C28" s="28" t="s">
        <v>170</v>
      </c>
      <c r="D28" s="15"/>
      <c r="E28" s="28" t="s">
        <v>170</v>
      </c>
      <c r="F28" s="15" t="s">
        <v>171</v>
      </c>
      <c r="G28" s="15" t="s">
        <v>172</v>
      </c>
      <c r="H28" s="15" t="s">
        <v>132</v>
      </c>
    </row>
  </sheetData>
  <mergeCells count="5">
    <mergeCell ref="A4:H4"/>
    <mergeCell ref="A2:H2"/>
    <mergeCell ref="A10:H10"/>
    <mergeCell ref="A23:H23"/>
    <mergeCell ref="A17:H17"/>
  </mergeCells>
  <conditionalFormatting sqref="F4:F29">
    <cfRule type="expression" dxfId="7" priority="1">
      <formula>OR(ISNUMBER(SEARCH("REVISAR",F4)),ISNUMBER(SEARCH("NO CUMPLE",F4)),ISNUMBER(SEARCH("No cumple",F4)))</formula>
    </cfRule>
    <cfRule type="expression" dxfId="6" priority="2">
      <formula>OR(LEFT(F4,2)="OK",F4="Cumple")</formula>
    </cfRule>
  </conditionalFormatting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2"/>
  <sheetViews>
    <sheetView showGridLines="0" workbookViewId="0">
      <pane xSplit="2" ySplit="3" topLeftCell="C8" activePane="bottomRight" state="frozen"/>
      <selection pane="topRight"/>
      <selection pane="bottomLeft"/>
      <selection pane="bottomRight" activeCell="B18" sqref="B18"/>
    </sheetView>
  </sheetViews>
  <sheetFormatPr baseColWidth="10" defaultColWidth="8.88671875" defaultRowHeight="14.4" x14ac:dyDescent="0.3"/>
  <cols>
    <col min="1" max="1" width="9" customWidth="1"/>
    <col min="2" max="2" width="74" customWidth="1"/>
    <col min="3" max="3" width="12" customWidth="1"/>
    <col min="4" max="4" width="9" customWidth="1"/>
    <col min="5" max="5" width="15" customWidth="1"/>
    <col min="6" max="6" width="17" customWidth="1"/>
    <col min="7" max="7" width="24" customWidth="1"/>
    <col min="8" max="8" width="30" customWidth="1"/>
  </cols>
  <sheetData>
    <row r="1" spans="1:8" ht="17.399999999999999" x14ac:dyDescent="0.3">
      <c r="A1" s="1" t="s">
        <v>315</v>
      </c>
    </row>
    <row r="2" spans="1:8" ht="42" customHeight="1" x14ac:dyDescent="0.3">
      <c r="A2" s="80" t="s">
        <v>316</v>
      </c>
      <c r="B2" s="79"/>
      <c r="C2" s="79"/>
      <c r="D2" s="79"/>
      <c r="E2" s="79"/>
      <c r="F2" s="79"/>
      <c r="G2" s="79"/>
      <c r="H2" s="79"/>
    </row>
    <row r="3" spans="1:8" x14ac:dyDescent="0.3">
      <c r="A3" s="14" t="s">
        <v>59</v>
      </c>
      <c r="B3" s="14" t="s">
        <v>162</v>
      </c>
      <c r="C3" s="14" t="s">
        <v>163</v>
      </c>
      <c r="D3" s="14" t="s">
        <v>62</v>
      </c>
      <c r="E3" s="14" t="s">
        <v>164</v>
      </c>
      <c r="F3" s="14" t="s">
        <v>63</v>
      </c>
      <c r="G3" s="14" t="s">
        <v>165</v>
      </c>
      <c r="H3" s="14" t="s">
        <v>166</v>
      </c>
    </row>
    <row r="4" spans="1:8" x14ac:dyDescent="0.3">
      <c r="A4" s="81" t="s">
        <v>317</v>
      </c>
      <c r="B4" s="82"/>
      <c r="C4" s="82"/>
      <c r="D4" s="82"/>
      <c r="E4" s="82"/>
      <c r="F4" s="82"/>
      <c r="G4" s="82"/>
      <c r="H4" s="83"/>
    </row>
    <row r="5" spans="1:8" ht="26.4" x14ac:dyDescent="0.3">
      <c r="A5" s="27" t="s">
        <v>318</v>
      </c>
      <c r="B5" s="15" t="s">
        <v>319</v>
      </c>
      <c r="C5" s="43">
        <f>Calculos!$C$26</f>
        <v>400</v>
      </c>
      <c r="D5" s="15" t="s">
        <v>320</v>
      </c>
      <c r="E5" s="43">
        <f>Calculos!$C$74</f>
        <v>295.92798598598324</v>
      </c>
      <c r="F5" s="15" t="str">
        <f>IF(E5&gt;=C5,"Cumple","NO CUMPLE")</f>
        <v>NO CUMPLE</v>
      </c>
      <c r="G5" s="15" t="s">
        <v>192</v>
      </c>
      <c r="H5" s="15" t="s">
        <v>309</v>
      </c>
    </row>
    <row r="6" spans="1:8" ht="26.4" x14ac:dyDescent="0.3">
      <c r="A6" s="27" t="s">
        <v>321</v>
      </c>
      <c r="B6" s="15" t="s">
        <v>322</v>
      </c>
      <c r="C6" s="28" t="s">
        <v>170</v>
      </c>
      <c r="D6" s="15"/>
      <c r="E6" s="28" t="s">
        <v>170</v>
      </c>
      <c r="F6" s="15" t="s">
        <v>171</v>
      </c>
      <c r="G6" s="15" t="s">
        <v>172</v>
      </c>
      <c r="H6" s="15" t="s">
        <v>309</v>
      </c>
    </row>
    <row r="7" spans="1:8" x14ac:dyDescent="0.3">
      <c r="A7" s="27" t="s">
        <v>323</v>
      </c>
      <c r="B7" s="15" t="s">
        <v>324</v>
      </c>
      <c r="C7" s="28" t="s">
        <v>170</v>
      </c>
      <c r="D7" s="15"/>
      <c r="E7" s="28" t="s">
        <v>170</v>
      </c>
      <c r="F7" s="15" t="s">
        <v>171</v>
      </c>
      <c r="G7" s="15" t="s">
        <v>172</v>
      </c>
      <c r="H7" s="15" t="s">
        <v>309</v>
      </c>
    </row>
    <row r="8" spans="1:8" ht="26.4" x14ac:dyDescent="0.3">
      <c r="A8" s="27" t="s">
        <v>325</v>
      </c>
      <c r="B8" s="15" t="s">
        <v>326</v>
      </c>
      <c r="C8" s="30">
        <f>Calculos!$C$59</f>
        <v>17.892967032967032</v>
      </c>
      <c r="D8" s="15" t="s">
        <v>10</v>
      </c>
      <c r="E8" s="30">
        <f>Calculos!$C$52</f>
        <v>20.717890727893007</v>
      </c>
      <c r="F8" s="15" t="str">
        <f>IF(E8&gt;=C8,"Cumple","NO CUMPLE")</f>
        <v>Cumple</v>
      </c>
      <c r="G8" s="15" t="s">
        <v>119</v>
      </c>
      <c r="H8" s="15" t="s">
        <v>309</v>
      </c>
    </row>
    <row r="9" spans="1:8" ht="26.4" x14ac:dyDescent="0.3">
      <c r="A9" s="27" t="s">
        <v>327</v>
      </c>
      <c r="B9" s="15" t="s">
        <v>328</v>
      </c>
      <c r="C9" s="28" t="s">
        <v>170</v>
      </c>
      <c r="D9" s="15"/>
      <c r="E9" s="28" t="s">
        <v>170</v>
      </c>
      <c r="F9" s="15" t="s">
        <v>171</v>
      </c>
      <c r="G9" s="15" t="s">
        <v>172</v>
      </c>
      <c r="H9" s="15" t="s">
        <v>309</v>
      </c>
    </row>
    <row r="10" spans="1:8" ht="26.4" x14ac:dyDescent="0.3">
      <c r="A10" s="27" t="s">
        <v>329</v>
      </c>
      <c r="B10" s="15" t="s">
        <v>330</v>
      </c>
      <c r="C10" s="28" t="s">
        <v>170</v>
      </c>
      <c r="D10" s="15"/>
      <c r="E10" s="28" t="s">
        <v>170</v>
      </c>
      <c r="F10" s="15" t="s">
        <v>171</v>
      </c>
      <c r="G10" s="15" t="s">
        <v>172</v>
      </c>
      <c r="H10" s="15" t="s">
        <v>309</v>
      </c>
    </row>
    <row r="11" spans="1:8" x14ac:dyDescent="0.3">
      <c r="A11" s="27" t="s">
        <v>331</v>
      </c>
      <c r="B11" s="15" t="s">
        <v>332</v>
      </c>
      <c r="C11" s="28" t="s">
        <v>170</v>
      </c>
      <c r="D11" s="15"/>
      <c r="E11" s="28" t="s">
        <v>170</v>
      </c>
      <c r="F11" s="15" t="s">
        <v>171</v>
      </c>
      <c r="G11" s="15" t="s">
        <v>172</v>
      </c>
      <c r="H11" s="15" t="s">
        <v>309</v>
      </c>
    </row>
    <row r="12" spans="1:8" x14ac:dyDescent="0.3">
      <c r="A12" s="27" t="s">
        <v>333</v>
      </c>
      <c r="B12" s="15" t="s">
        <v>334</v>
      </c>
      <c r="C12" s="28" t="s">
        <v>170</v>
      </c>
      <c r="D12" s="15"/>
      <c r="E12" s="28" t="s">
        <v>170</v>
      </c>
      <c r="F12" s="15" t="s">
        <v>171</v>
      </c>
      <c r="G12" s="15" t="s">
        <v>172</v>
      </c>
      <c r="H12" s="15" t="s">
        <v>309</v>
      </c>
    </row>
    <row r="13" spans="1:8" x14ac:dyDescent="0.3">
      <c r="A13" s="81" t="s">
        <v>335</v>
      </c>
      <c r="B13" s="82"/>
      <c r="C13" s="82"/>
      <c r="D13" s="82"/>
      <c r="E13" s="82"/>
      <c r="F13" s="82"/>
      <c r="G13" s="82"/>
      <c r="H13" s="83"/>
    </row>
    <row r="14" spans="1:8" x14ac:dyDescent="0.3">
      <c r="A14" s="27" t="s">
        <v>336</v>
      </c>
      <c r="B14" s="15" t="s">
        <v>337</v>
      </c>
      <c r="C14" s="37">
        <v>15</v>
      </c>
      <c r="D14" s="15" t="s">
        <v>10</v>
      </c>
      <c r="E14" s="30">
        <f>Calculos!$C$52</f>
        <v>20.717890727893007</v>
      </c>
      <c r="F14" s="15" t="str">
        <f>IF(E14&gt;=C14,"Cumple","NO CUMPLE")</f>
        <v>Cumple</v>
      </c>
      <c r="G14" s="15" t="s">
        <v>271</v>
      </c>
      <c r="H14" s="15" t="s">
        <v>338</v>
      </c>
    </row>
    <row r="15" spans="1:8" x14ac:dyDescent="0.3">
      <c r="A15" s="27" t="s">
        <v>339</v>
      </c>
      <c r="B15" s="15" t="s">
        <v>340</v>
      </c>
      <c r="C15" s="37">
        <v>40</v>
      </c>
      <c r="D15" s="15" t="s">
        <v>10</v>
      </c>
      <c r="E15" s="30">
        <f>Calculos!$C$63</f>
        <v>30.801642815235375</v>
      </c>
      <c r="F15" s="15" t="str">
        <f>IF(E15&lt;=C15,"Cumple","NO CUMPLE")</f>
        <v>Cumple</v>
      </c>
      <c r="G15" s="15" t="s">
        <v>271</v>
      </c>
      <c r="H15" s="15" t="s">
        <v>341</v>
      </c>
    </row>
    <row r="16" spans="1:8" ht="26.4" x14ac:dyDescent="0.3">
      <c r="A16" s="27" t="s">
        <v>342</v>
      </c>
      <c r="B16" s="15" t="s">
        <v>343</v>
      </c>
      <c r="C16" s="37">
        <v>60</v>
      </c>
      <c r="D16" s="15" t="s">
        <v>10</v>
      </c>
      <c r="E16" s="30">
        <f>Convertidores!$F$19</f>
        <v>42.801642815235375</v>
      </c>
      <c r="F16" s="15" t="str">
        <f>IF(E16&lt;=C16,"Cumple","NO CUMPLE")</f>
        <v>Cumple</v>
      </c>
      <c r="G16" s="15" t="s">
        <v>344</v>
      </c>
      <c r="H16" s="15" t="s">
        <v>345</v>
      </c>
    </row>
    <row r="17" spans="1:8" ht="26.4" x14ac:dyDescent="0.3">
      <c r="A17" s="27" t="s">
        <v>346</v>
      </c>
      <c r="B17" s="15" t="s">
        <v>347</v>
      </c>
      <c r="C17" s="42">
        <v>0.91</v>
      </c>
      <c r="D17" s="15"/>
      <c r="E17" s="41">
        <f>MAX(Convertidores!C27:E27,Convertidores!G27)</f>
        <v>0.74312403886899436</v>
      </c>
      <c r="F17" s="15" t="str">
        <f>IF(E17&lt;=C17,"Cumple","NO CUMPLE")</f>
        <v>Cumple</v>
      </c>
      <c r="G17" s="15" t="s">
        <v>348</v>
      </c>
      <c r="H17" s="15" t="s">
        <v>349</v>
      </c>
    </row>
    <row r="18" spans="1:8" ht="39.6" x14ac:dyDescent="0.3">
      <c r="A18" s="27" t="s">
        <v>350</v>
      </c>
      <c r="B18" s="15" t="s">
        <v>351</v>
      </c>
      <c r="C18" s="29">
        <f>Convertidores!G43/2</f>
        <v>2.875</v>
      </c>
      <c r="D18" s="15" t="s">
        <v>117</v>
      </c>
      <c r="E18" s="29">
        <f>Convertidores!$G$9</f>
        <v>3</v>
      </c>
      <c r="F18" s="15" t="str">
        <f>IF(E18&lt;=C18,"Cumple","REVISAR EN PRUEBA")</f>
        <v>REVISAR EN PRUEBA</v>
      </c>
      <c r="G18" s="15" t="s">
        <v>352</v>
      </c>
      <c r="H18" s="15" t="s">
        <v>353</v>
      </c>
    </row>
    <row r="19" spans="1:8" ht="26.4" x14ac:dyDescent="0.3">
      <c r="A19" s="27" t="s">
        <v>354</v>
      </c>
      <c r="B19" s="15" t="s">
        <v>355</v>
      </c>
      <c r="C19" s="30">
        <f>MIN(Convertidores!C73:E73,Convertidores!G73)</f>
        <v>18.249999999999986</v>
      </c>
      <c r="D19" s="15" t="s">
        <v>285</v>
      </c>
      <c r="E19" s="30">
        <f>Convertidores!$C$74</f>
        <v>12</v>
      </c>
      <c r="F19" s="15" t="str">
        <f>IF(E19&lt;=C19,"Cumple","NO CUMPLE")</f>
        <v>Cumple</v>
      </c>
      <c r="G19" s="15" t="s">
        <v>356</v>
      </c>
      <c r="H19" s="15" t="s">
        <v>357</v>
      </c>
    </row>
    <row r="20" spans="1:8" ht="26.4" x14ac:dyDescent="0.3">
      <c r="A20" s="27" t="s">
        <v>358</v>
      </c>
      <c r="B20" s="15" t="s">
        <v>359</v>
      </c>
      <c r="C20" s="28" t="s">
        <v>170</v>
      </c>
      <c r="D20" s="15" t="s">
        <v>191</v>
      </c>
      <c r="E20" s="30">
        <f>Calculos!$C$84</f>
        <v>4.1009671656207027</v>
      </c>
      <c r="F20" s="15" t="s">
        <v>171</v>
      </c>
      <c r="G20" s="15" t="s">
        <v>360</v>
      </c>
      <c r="H20" s="15" t="s">
        <v>192</v>
      </c>
    </row>
    <row r="21" spans="1:8" ht="26.4" x14ac:dyDescent="0.3">
      <c r="A21" s="27" t="s">
        <v>361</v>
      </c>
      <c r="B21" s="15" t="s">
        <v>362</v>
      </c>
      <c r="C21" s="28" t="s">
        <v>170</v>
      </c>
      <c r="D21" s="15"/>
      <c r="E21" s="28" t="s">
        <v>170</v>
      </c>
      <c r="F21" s="15" t="s">
        <v>171</v>
      </c>
      <c r="G21" s="15" t="s">
        <v>172</v>
      </c>
      <c r="H21" s="15" t="s">
        <v>312</v>
      </c>
    </row>
    <row r="22" spans="1:8" ht="26.4" x14ac:dyDescent="0.3">
      <c r="A22" s="27" t="s">
        <v>363</v>
      </c>
      <c r="B22" s="15" t="s">
        <v>364</v>
      </c>
      <c r="C22" s="28" t="s">
        <v>170</v>
      </c>
      <c r="D22" s="15"/>
      <c r="E22" s="28" t="s">
        <v>170</v>
      </c>
      <c r="F22" s="15" t="s">
        <v>171</v>
      </c>
      <c r="G22" s="15" t="s">
        <v>172</v>
      </c>
      <c r="H22" s="15" t="s">
        <v>365</v>
      </c>
    </row>
  </sheetData>
  <mergeCells count="3">
    <mergeCell ref="A4:H4"/>
    <mergeCell ref="A13:H13"/>
    <mergeCell ref="A2:H2"/>
  </mergeCells>
  <conditionalFormatting sqref="F4:F23">
    <cfRule type="expression" dxfId="5" priority="1">
      <formula>OR(ISNUMBER(SEARCH("REVISAR",F4)),ISNUMBER(SEARCH("NO CUMPLE",F4)),ISNUMBER(SEARCH("No cumple",F4)))</formula>
    </cfRule>
    <cfRule type="expression" dxfId="4" priority="2">
      <formula>OR(LEFT(F4,2)="OK",F4="Cumple")</formula>
    </cfRule>
  </conditionalFormatting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56"/>
  <sheetViews>
    <sheetView showGridLines="0" zoomScale="90" workbookViewId="0">
      <pane xSplit="3" ySplit="3" topLeftCell="F47" activePane="bottomRight" state="frozen"/>
      <selection pane="topRight"/>
      <selection pane="bottomLeft"/>
      <selection pane="bottomRight" activeCell="K22" sqref="K22"/>
    </sheetView>
  </sheetViews>
  <sheetFormatPr baseColWidth="10" defaultColWidth="8.88671875" defaultRowHeight="14.4" x14ac:dyDescent="0.3"/>
  <cols>
    <col min="1" max="1" width="7" customWidth="1"/>
    <col min="2" max="2" width="18" customWidth="1"/>
    <col min="3" max="3" width="32" customWidth="1"/>
    <col min="4" max="4" width="30" customWidth="1"/>
    <col min="5" max="5" width="18" customWidth="1"/>
    <col min="6" max="6" width="42" customWidth="1"/>
    <col min="7" max="7" width="7" customWidth="1"/>
    <col min="8" max="8" width="38" customWidth="1"/>
    <col min="9" max="9" width="34" customWidth="1"/>
    <col min="10" max="10" width="14" customWidth="1"/>
    <col min="11" max="11" width="36" customWidth="1"/>
    <col min="12" max="12" width="24" customWidth="1"/>
    <col min="13" max="13" width="30" customWidth="1"/>
  </cols>
  <sheetData>
    <row r="1" spans="1:13" ht="17.399999999999999" x14ac:dyDescent="0.3">
      <c r="A1" s="1" t="s">
        <v>366</v>
      </c>
    </row>
    <row r="2" spans="1:13" ht="42" customHeight="1" x14ac:dyDescent="0.3">
      <c r="A2" s="80" t="s">
        <v>367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3" ht="26.4" x14ac:dyDescent="0.3">
      <c r="A3" s="14" t="s">
        <v>59</v>
      </c>
      <c r="B3" s="14" t="s">
        <v>368</v>
      </c>
      <c r="C3" s="14" t="s">
        <v>369</v>
      </c>
      <c r="D3" s="14" t="s">
        <v>370</v>
      </c>
      <c r="E3" s="14" t="s">
        <v>371</v>
      </c>
      <c r="F3" s="14" t="s">
        <v>372</v>
      </c>
      <c r="G3" s="14" t="s">
        <v>373</v>
      </c>
      <c r="H3" s="14" t="s">
        <v>374</v>
      </c>
      <c r="I3" s="14" t="s">
        <v>375</v>
      </c>
      <c r="J3" s="14" t="s">
        <v>376</v>
      </c>
      <c r="K3" s="14" t="s">
        <v>377</v>
      </c>
      <c r="L3" s="14" t="s">
        <v>378</v>
      </c>
      <c r="M3" s="14" t="s">
        <v>379</v>
      </c>
    </row>
    <row r="4" spans="1:13" x14ac:dyDescent="0.3">
      <c r="A4" s="81" t="s">
        <v>380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3"/>
    </row>
    <row r="5" spans="1:13" ht="39.6" x14ac:dyDescent="0.3">
      <c r="A5" s="15" t="s">
        <v>381</v>
      </c>
      <c r="B5" s="15" t="s">
        <v>382</v>
      </c>
      <c r="C5" s="15" t="s">
        <v>383</v>
      </c>
      <c r="D5" s="44" t="s">
        <v>384</v>
      </c>
      <c r="E5" s="15" t="s">
        <v>385</v>
      </c>
      <c r="F5" s="15" t="s">
        <v>386</v>
      </c>
      <c r="G5" s="45">
        <v>1</v>
      </c>
      <c r="H5" s="15" t="s">
        <v>387</v>
      </c>
      <c r="I5" s="15" t="s">
        <v>388</v>
      </c>
      <c r="J5" s="15" t="s">
        <v>389</v>
      </c>
      <c r="K5" s="46" t="s">
        <v>390</v>
      </c>
      <c r="L5" s="46" t="s">
        <v>391</v>
      </c>
      <c r="M5" s="15" t="s">
        <v>392</v>
      </c>
    </row>
    <row r="6" spans="1:13" ht="26.4" x14ac:dyDescent="0.3">
      <c r="A6" s="15" t="s">
        <v>393</v>
      </c>
      <c r="B6" s="15" t="s">
        <v>394</v>
      </c>
      <c r="C6" s="15" t="s">
        <v>395</v>
      </c>
      <c r="D6" s="44" t="s">
        <v>396</v>
      </c>
      <c r="E6" s="15" t="s">
        <v>397</v>
      </c>
      <c r="F6" s="15" t="s">
        <v>398</v>
      </c>
      <c r="G6" s="45">
        <v>2</v>
      </c>
      <c r="H6" s="15" t="s">
        <v>399</v>
      </c>
      <c r="I6" s="15" t="s">
        <v>400</v>
      </c>
      <c r="J6" s="15" t="s">
        <v>389</v>
      </c>
      <c r="K6" s="46" t="s">
        <v>401</v>
      </c>
      <c r="L6" s="46" t="s">
        <v>402</v>
      </c>
      <c r="M6" s="15" t="s">
        <v>403</v>
      </c>
    </row>
    <row r="7" spans="1:13" ht="26.4" x14ac:dyDescent="0.3">
      <c r="A7" s="15" t="s">
        <v>404</v>
      </c>
      <c r="B7" s="15" t="s">
        <v>394</v>
      </c>
      <c r="C7" s="15" t="s">
        <v>405</v>
      </c>
      <c r="D7" s="44" t="s">
        <v>406</v>
      </c>
      <c r="E7" s="15" t="s">
        <v>407</v>
      </c>
      <c r="F7" s="15" t="s">
        <v>408</v>
      </c>
      <c r="G7" s="45">
        <v>1</v>
      </c>
      <c r="H7" s="15" t="s">
        <v>409</v>
      </c>
      <c r="I7" s="15" t="s">
        <v>410</v>
      </c>
      <c r="J7" s="15" t="s">
        <v>389</v>
      </c>
      <c r="K7" s="46" t="s">
        <v>411</v>
      </c>
      <c r="L7" s="46" t="s">
        <v>412</v>
      </c>
      <c r="M7" s="15" t="s">
        <v>403</v>
      </c>
    </row>
    <row r="8" spans="1:13" ht="26.4" x14ac:dyDescent="0.3">
      <c r="A8" s="15" t="s">
        <v>413</v>
      </c>
      <c r="B8" s="15" t="s">
        <v>394</v>
      </c>
      <c r="C8" s="15" t="s">
        <v>414</v>
      </c>
      <c r="D8" s="44" t="s">
        <v>415</v>
      </c>
      <c r="E8" s="15" t="s">
        <v>416</v>
      </c>
      <c r="F8" s="15" t="s">
        <v>417</v>
      </c>
      <c r="G8" s="45">
        <v>1</v>
      </c>
      <c r="H8" s="15" t="s">
        <v>418</v>
      </c>
      <c r="I8" s="15" t="s">
        <v>419</v>
      </c>
      <c r="J8" s="15" t="s">
        <v>389</v>
      </c>
      <c r="K8" s="46" t="s">
        <v>420</v>
      </c>
      <c r="L8" s="46" t="s">
        <v>421</v>
      </c>
      <c r="M8" s="15" t="s">
        <v>403</v>
      </c>
    </row>
    <row r="9" spans="1:13" x14ac:dyDescent="0.3">
      <c r="A9" s="81" t="s">
        <v>422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3"/>
    </row>
    <row r="10" spans="1:13" ht="39.6" x14ac:dyDescent="0.3">
      <c r="A10" s="15" t="s">
        <v>423</v>
      </c>
      <c r="B10" s="15" t="s">
        <v>101</v>
      </c>
      <c r="C10" s="15" t="s">
        <v>424</v>
      </c>
      <c r="D10" s="44" t="s">
        <v>102</v>
      </c>
      <c r="E10" s="15" t="s">
        <v>425</v>
      </c>
      <c r="F10" s="15" t="s">
        <v>426</v>
      </c>
      <c r="G10" s="45">
        <v>1</v>
      </c>
      <c r="H10" s="15" t="s">
        <v>427</v>
      </c>
      <c r="I10" s="15" t="s">
        <v>428</v>
      </c>
      <c r="J10" s="15" t="s">
        <v>389</v>
      </c>
      <c r="K10" s="46" t="s">
        <v>429</v>
      </c>
      <c r="L10" s="15" t="s">
        <v>430</v>
      </c>
      <c r="M10" s="15" t="s">
        <v>431</v>
      </c>
    </row>
    <row r="11" spans="1:13" x14ac:dyDescent="0.3">
      <c r="A11" s="81" t="s">
        <v>432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3"/>
    </row>
    <row r="12" spans="1:13" ht="26.4" x14ac:dyDescent="0.3">
      <c r="A12" s="15" t="s">
        <v>433</v>
      </c>
      <c r="B12" s="15" t="s">
        <v>73</v>
      </c>
      <c r="C12" s="15" t="s">
        <v>434</v>
      </c>
      <c r="D12" s="44" t="s">
        <v>435</v>
      </c>
      <c r="E12" s="15" t="s">
        <v>436</v>
      </c>
      <c r="F12" s="15" t="s">
        <v>437</v>
      </c>
      <c r="G12" s="45">
        <v>1</v>
      </c>
      <c r="H12" s="15" t="s">
        <v>438</v>
      </c>
      <c r="I12" s="15" t="s">
        <v>439</v>
      </c>
      <c r="J12" s="15" t="s">
        <v>440</v>
      </c>
      <c r="K12" s="46" t="s">
        <v>441</v>
      </c>
      <c r="L12" s="46" t="s">
        <v>442</v>
      </c>
      <c r="M12" s="15" t="s">
        <v>392</v>
      </c>
    </row>
    <row r="13" spans="1:13" ht="26.4" x14ac:dyDescent="0.3">
      <c r="A13" s="15" t="s">
        <v>443</v>
      </c>
      <c r="B13" s="15" t="s">
        <v>73</v>
      </c>
      <c r="C13" s="15" t="s">
        <v>444</v>
      </c>
      <c r="D13" s="44" t="s">
        <v>445</v>
      </c>
      <c r="E13" s="15" t="s">
        <v>446</v>
      </c>
      <c r="F13" s="15" t="s">
        <v>447</v>
      </c>
      <c r="G13" s="45">
        <v>1</v>
      </c>
      <c r="H13" s="15" t="s">
        <v>448</v>
      </c>
      <c r="I13" s="15" t="s">
        <v>449</v>
      </c>
      <c r="J13" s="15" t="s">
        <v>440</v>
      </c>
      <c r="K13" s="46" t="s">
        <v>450</v>
      </c>
      <c r="L13" s="46" t="s">
        <v>451</v>
      </c>
      <c r="M13" s="15" t="s">
        <v>431</v>
      </c>
    </row>
    <row r="14" spans="1:13" ht="39.6" x14ac:dyDescent="0.3">
      <c r="A14" s="15" t="s">
        <v>452</v>
      </c>
      <c r="B14" s="15" t="s">
        <v>73</v>
      </c>
      <c r="C14" s="15" t="s">
        <v>453</v>
      </c>
      <c r="D14" s="44" t="s">
        <v>454</v>
      </c>
      <c r="E14" s="15" t="s">
        <v>455</v>
      </c>
      <c r="F14" s="15" t="s">
        <v>456</v>
      </c>
      <c r="G14" s="45">
        <v>1</v>
      </c>
      <c r="H14" s="15" t="s">
        <v>457</v>
      </c>
      <c r="I14" s="15" t="s">
        <v>458</v>
      </c>
      <c r="J14" s="15" t="s">
        <v>459</v>
      </c>
      <c r="K14" s="46" t="s">
        <v>460</v>
      </c>
      <c r="L14" s="15" t="s">
        <v>461</v>
      </c>
      <c r="M14" s="15" t="s">
        <v>462</v>
      </c>
    </row>
    <row r="15" spans="1:13" ht="66" x14ac:dyDescent="0.3">
      <c r="A15" s="15" t="s">
        <v>463</v>
      </c>
      <c r="B15" s="15" t="s">
        <v>77</v>
      </c>
      <c r="C15" s="15" t="s">
        <v>464</v>
      </c>
      <c r="D15" s="44" t="s">
        <v>291</v>
      </c>
      <c r="E15" s="15" t="s">
        <v>465</v>
      </c>
      <c r="F15" s="15" t="s">
        <v>466</v>
      </c>
      <c r="G15" s="45">
        <v>3</v>
      </c>
      <c r="H15" s="15" t="s">
        <v>467</v>
      </c>
      <c r="I15" s="15" t="s">
        <v>468</v>
      </c>
      <c r="J15" s="15" t="s">
        <v>440</v>
      </c>
      <c r="K15" s="46" t="s">
        <v>469</v>
      </c>
      <c r="L15" s="46" t="s">
        <v>470</v>
      </c>
      <c r="M15" s="15" t="s">
        <v>471</v>
      </c>
    </row>
    <row r="16" spans="1:13" ht="26.4" x14ac:dyDescent="0.3">
      <c r="A16" s="15" t="s">
        <v>472</v>
      </c>
      <c r="B16" s="15" t="s">
        <v>77</v>
      </c>
      <c r="C16" s="15" t="s">
        <v>473</v>
      </c>
      <c r="D16" s="44" t="s">
        <v>474</v>
      </c>
      <c r="E16" s="15" t="s">
        <v>475</v>
      </c>
      <c r="F16" s="15" t="s">
        <v>476</v>
      </c>
      <c r="G16" s="45">
        <v>1</v>
      </c>
      <c r="H16" s="15" t="s">
        <v>477</v>
      </c>
      <c r="I16" s="15" t="s">
        <v>478</v>
      </c>
      <c r="J16" s="15" t="s">
        <v>440</v>
      </c>
      <c r="K16" s="46" t="s">
        <v>479</v>
      </c>
      <c r="L16" s="15" t="s">
        <v>461</v>
      </c>
      <c r="M16" s="15" t="s">
        <v>403</v>
      </c>
    </row>
    <row r="17" spans="1:13" x14ac:dyDescent="0.3">
      <c r="A17" s="81" t="s">
        <v>480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3"/>
    </row>
    <row r="18" spans="1:13" ht="26.4" x14ac:dyDescent="0.3">
      <c r="A18" s="15" t="s">
        <v>481</v>
      </c>
      <c r="B18" s="15" t="s">
        <v>482</v>
      </c>
      <c r="C18" s="15" t="s">
        <v>483</v>
      </c>
      <c r="D18" s="44" t="s">
        <v>484</v>
      </c>
      <c r="E18" s="15" t="s">
        <v>397</v>
      </c>
      <c r="F18" s="15" t="s">
        <v>485</v>
      </c>
      <c r="G18" s="45">
        <v>2</v>
      </c>
      <c r="H18" s="15" t="s">
        <v>486</v>
      </c>
      <c r="I18" s="15" t="s">
        <v>487</v>
      </c>
      <c r="J18" s="15" t="s">
        <v>440</v>
      </c>
      <c r="K18" s="46" t="s">
        <v>488</v>
      </c>
      <c r="L18" s="46" t="s">
        <v>489</v>
      </c>
      <c r="M18" s="15" t="s">
        <v>403</v>
      </c>
    </row>
    <row r="19" spans="1:13" ht="26.4" x14ac:dyDescent="0.3">
      <c r="A19" s="15" t="s">
        <v>490</v>
      </c>
      <c r="B19" s="15" t="s">
        <v>482</v>
      </c>
      <c r="C19" s="15" t="s">
        <v>491</v>
      </c>
      <c r="D19" s="44" t="s">
        <v>492</v>
      </c>
      <c r="E19" s="15" t="s">
        <v>397</v>
      </c>
      <c r="F19" s="15" t="s">
        <v>493</v>
      </c>
      <c r="G19" s="45">
        <v>1</v>
      </c>
      <c r="H19" s="15" t="s">
        <v>494</v>
      </c>
      <c r="I19" s="15" t="s">
        <v>495</v>
      </c>
      <c r="J19" s="15" t="s">
        <v>440</v>
      </c>
      <c r="K19" s="46" t="s">
        <v>496</v>
      </c>
      <c r="L19" s="46" t="s">
        <v>497</v>
      </c>
      <c r="M19" s="15" t="s">
        <v>403</v>
      </c>
    </row>
    <row r="20" spans="1:13" x14ac:dyDescent="0.3">
      <c r="A20" s="81" t="s">
        <v>498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3"/>
    </row>
    <row r="21" spans="1:13" ht="26.4" x14ac:dyDescent="0.3">
      <c r="A21" s="15" t="s">
        <v>499</v>
      </c>
      <c r="B21" s="15" t="s">
        <v>500</v>
      </c>
      <c r="C21" s="15" t="s">
        <v>501</v>
      </c>
      <c r="D21" s="44" t="s">
        <v>502</v>
      </c>
      <c r="E21" s="15" t="s">
        <v>503</v>
      </c>
      <c r="F21" s="15" t="s">
        <v>504</v>
      </c>
      <c r="G21" s="45">
        <v>1</v>
      </c>
      <c r="H21" s="15" t="s">
        <v>505</v>
      </c>
      <c r="I21" s="15" t="s">
        <v>506</v>
      </c>
      <c r="J21" s="15" t="s">
        <v>507</v>
      </c>
      <c r="K21" s="46" t="s">
        <v>508</v>
      </c>
      <c r="L21" s="46" t="s">
        <v>509</v>
      </c>
      <c r="M21" s="15" t="s">
        <v>431</v>
      </c>
    </row>
    <row r="22" spans="1:13" ht="26.4" x14ac:dyDescent="0.3">
      <c r="A22" s="15" t="s">
        <v>510</v>
      </c>
      <c r="B22" s="15" t="s">
        <v>511</v>
      </c>
      <c r="C22" s="15" t="s">
        <v>512</v>
      </c>
      <c r="D22" s="44" t="s">
        <v>513</v>
      </c>
      <c r="E22" s="15" t="s">
        <v>503</v>
      </c>
      <c r="F22" s="15" t="s">
        <v>514</v>
      </c>
      <c r="G22" s="45">
        <v>1</v>
      </c>
      <c r="H22" s="15" t="s">
        <v>515</v>
      </c>
      <c r="I22" s="15" t="s">
        <v>516</v>
      </c>
      <c r="J22" s="15" t="s">
        <v>507</v>
      </c>
      <c r="K22" s="46" t="s">
        <v>508</v>
      </c>
      <c r="L22" s="46" t="s">
        <v>509</v>
      </c>
      <c r="M22" s="15" t="s">
        <v>431</v>
      </c>
    </row>
    <row r="23" spans="1:13" ht="26.4" x14ac:dyDescent="0.3">
      <c r="A23" s="15" t="s">
        <v>517</v>
      </c>
      <c r="B23" s="15" t="s">
        <v>518</v>
      </c>
      <c r="C23" s="15" t="s">
        <v>519</v>
      </c>
      <c r="D23" s="44" t="s">
        <v>520</v>
      </c>
      <c r="E23" s="15" t="s">
        <v>503</v>
      </c>
      <c r="F23" s="15" t="s">
        <v>514</v>
      </c>
      <c r="G23" s="45">
        <v>1</v>
      </c>
      <c r="H23" s="15" t="s">
        <v>521</v>
      </c>
      <c r="I23" s="15" t="s">
        <v>522</v>
      </c>
      <c r="J23" s="15" t="s">
        <v>507</v>
      </c>
      <c r="K23" s="46" t="s">
        <v>508</v>
      </c>
      <c r="L23" s="46" t="s">
        <v>509</v>
      </c>
      <c r="M23" s="15" t="s">
        <v>431</v>
      </c>
    </row>
    <row r="24" spans="1:13" ht="26.4" x14ac:dyDescent="0.3">
      <c r="A24" s="15" t="s">
        <v>523</v>
      </c>
      <c r="B24" s="15" t="s">
        <v>524</v>
      </c>
      <c r="C24" s="15" t="s">
        <v>525</v>
      </c>
      <c r="D24" s="44" t="s">
        <v>526</v>
      </c>
      <c r="E24" s="15" t="s">
        <v>503</v>
      </c>
      <c r="F24" s="15" t="s">
        <v>527</v>
      </c>
      <c r="G24" s="45">
        <v>1</v>
      </c>
      <c r="H24" s="15" t="s">
        <v>528</v>
      </c>
      <c r="I24" s="15" t="s">
        <v>529</v>
      </c>
      <c r="J24" s="15" t="s">
        <v>507</v>
      </c>
      <c r="K24" s="46" t="s">
        <v>508</v>
      </c>
      <c r="L24" s="46" t="s">
        <v>509</v>
      </c>
      <c r="M24" s="15" t="s">
        <v>431</v>
      </c>
    </row>
    <row r="25" spans="1:13" ht="39.6" x14ac:dyDescent="0.3">
      <c r="A25" s="15" t="s">
        <v>530</v>
      </c>
      <c r="B25" s="15" t="s">
        <v>531</v>
      </c>
      <c r="C25" s="15" t="s">
        <v>532</v>
      </c>
      <c r="D25" s="44" t="s">
        <v>533</v>
      </c>
      <c r="E25" s="15" t="s">
        <v>503</v>
      </c>
      <c r="F25" s="15" t="s">
        <v>534</v>
      </c>
      <c r="G25" s="45">
        <v>1</v>
      </c>
      <c r="H25" s="15" t="s">
        <v>535</v>
      </c>
      <c r="I25" s="15" t="s">
        <v>536</v>
      </c>
      <c r="J25" s="15" t="s">
        <v>440</v>
      </c>
      <c r="K25" s="46" t="s">
        <v>537</v>
      </c>
      <c r="L25" s="46" t="s">
        <v>538</v>
      </c>
      <c r="M25" s="15" t="s">
        <v>431</v>
      </c>
    </row>
    <row r="26" spans="1:13" ht="26.4" x14ac:dyDescent="0.3">
      <c r="A26" s="15" t="s">
        <v>539</v>
      </c>
      <c r="B26" s="15" t="s">
        <v>540</v>
      </c>
      <c r="C26" s="15" t="s">
        <v>541</v>
      </c>
      <c r="D26" s="44" t="s">
        <v>542</v>
      </c>
      <c r="E26" s="15" t="s">
        <v>543</v>
      </c>
      <c r="F26" s="15" t="s">
        <v>544</v>
      </c>
      <c r="G26" s="45">
        <v>3</v>
      </c>
      <c r="H26" s="15" t="s">
        <v>545</v>
      </c>
      <c r="I26" s="15" t="s">
        <v>546</v>
      </c>
      <c r="J26" s="15" t="s">
        <v>440</v>
      </c>
      <c r="K26" s="46" t="s">
        <v>508</v>
      </c>
      <c r="L26" s="46" t="s">
        <v>547</v>
      </c>
      <c r="M26" s="15" t="s">
        <v>548</v>
      </c>
    </row>
    <row r="27" spans="1:13" ht="26.4" x14ac:dyDescent="0.3">
      <c r="A27" s="15" t="s">
        <v>549</v>
      </c>
      <c r="B27" s="15" t="s">
        <v>550</v>
      </c>
      <c r="C27" s="15" t="s">
        <v>551</v>
      </c>
      <c r="D27" s="44" t="s">
        <v>552</v>
      </c>
      <c r="E27" s="15" t="s">
        <v>553</v>
      </c>
      <c r="F27" s="15" t="s">
        <v>554</v>
      </c>
      <c r="G27" s="45">
        <v>1</v>
      </c>
      <c r="H27" s="15" t="s">
        <v>555</v>
      </c>
      <c r="I27" s="15" t="s">
        <v>556</v>
      </c>
      <c r="J27" s="15" t="s">
        <v>440</v>
      </c>
      <c r="K27" s="46" t="s">
        <v>508</v>
      </c>
      <c r="L27" s="46" t="s">
        <v>557</v>
      </c>
      <c r="M27" s="15" t="s">
        <v>548</v>
      </c>
    </row>
    <row r="28" spans="1:13" ht="26.4" x14ac:dyDescent="0.3">
      <c r="A28" s="15" t="s">
        <v>558</v>
      </c>
      <c r="B28" s="15" t="s">
        <v>559</v>
      </c>
      <c r="C28" s="15" t="s">
        <v>560</v>
      </c>
      <c r="D28" s="44" t="s">
        <v>561</v>
      </c>
      <c r="E28" s="15" t="s">
        <v>553</v>
      </c>
      <c r="F28" s="15" t="s">
        <v>562</v>
      </c>
      <c r="G28" s="45">
        <v>1</v>
      </c>
      <c r="H28" s="15" t="s">
        <v>563</v>
      </c>
      <c r="I28" s="15" t="s">
        <v>564</v>
      </c>
      <c r="J28" s="15" t="s">
        <v>440</v>
      </c>
      <c r="K28" s="46" t="s">
        <v>508</v>
      </c>
      <c r="L28" s="46" t="s">
        <v>565</v>
      </c>
      <c r="M28" s="15" t="s">
        <v>548</v>
      </c>
    </row>
    <row r="29" spans="1:13" ht="26.4" x14ac:dyDescent="0.3">
      <c r="A29" s="15" t="s">
        <v>566</v>
      </c>
      <c r="B29" s="15" t="s">
        <v>567</v>
      </c>
      <c r="C29" s="15" t="s">
        <v>568</v>
      </c>
      <c r="D29" s="44" t="s">
        <v>569</v>
      </c>
      <c r="E29" s="15" t="s">
        <v>570</v>
      </c>
      <c r="F29" s="15" t="s">
        <v>571</v>
      </c>
      <c r="G29" s="45">
        <v>4</v>
      </c>
      <c r="H29" s="15" t="s">
        <v>572</v>
      </c>
      <c r="I29" s="15" t="s">
        <v>573</v>
      </c>
      <c r="J29" s="15" t="s">
        <v>440</v>
      </c>
      <c r="K29" s="46" t="s">
        <v>508</v>
      </c>
      <c r="L29" s="46" t="s">
        <v>574</v>
      </c>
      <c r="M29" s="15" t="s">
        <v>575</v>
      </c>
    </row>
    <row r="30" spans="1:13" ht="26.4" x14ac:dyDescent="0.3">
      <c r="A30" s="15" t="s">
        <v>576</v>
      </c>
      <c r="B30" s="15" t="s">
        <v>559</v>
      </c>
      <c r="C30" s="15" t="s">
        <v>577</v>
      </c>
      <c r="D30" s="44" t="s">
        <v>578</v>
      </c>
      <c r="E30" s="15" t="s">
        <v>570</v>
      </c>
      <c r="F30" s="15" t="s">
        <v>579</v>
      </c>
      <c r="G30" s="45">
        <v>1</v>
      </c>
      <c r="H30" s="15" t="s">
        <v>580</v>
      </c>
      <c r="I30" s="15" t="s">
        <v>581</v>
      </c>
      <c r="J30" s="15" t="s">
        <v>440</v>
      </c>
      <c r="K30" s="46" t="s">
        <v>582</v>
      </c>
      <c r="L30" s="46" t="s">
        <v>583</v>
      </c>
      <c r="M30" s="15" t="s">
        <v>403</v>
      </c>
    </row>
    <row r="31" spans="1:13" ht="39.6" x14ac:dyDescent="0.3">
      <c r="A31" s="15" t="s">
        <v>584</v>
      </c>
      <c r="B31" s="15" t="s">
        <v>567</v>
      </c>
      <c r="C31" s="15" t="s">
        <v>585</v>
      </c>
      <c r="D31" s="44" t="s">
        <v>586</v>
      </c>
      <c r="E31" s="15" t="s">
        <v>587</v>
      </c>
      <c r="F31" s="15" t="s">
        <v>588</v>
      </c>
      <c r="G31" s="45">
        <v>4</v>
      </c>
      <c r="H31" s="15" t="s">
        <v>589</v>
      </c>
      <c r="I31" s="15" t="s">
        <v>590</v>
      </c>
      <c r="J31" s="15" t="s">
        <v>440</v>
      </c>
      <c r="K31" s="46" t="s">
        <v>591</v>
      </c>
      <c r="L31" s="15" t="s">
        <v>592</v>
      </c>
      <c r="M31" s="15" t="s">
        <v>462</v>
      </c>
    </row>
    <row r="32" spans="1:13" ht="39.6" x14ac:dyDescent="0.3">
      <c r="A32" s="15" t="s">
        <v>593</v>
      </c>
      <c r="B32" s="15" t="s">
        <v>594</v>
      </c>
      <c r="C32" s="15" t="s">
        <v>595</v>
      </c>
      <c r="D32" s="44" t="s">
        <v>596</v>
      </c>
      <c r="E32" s="15" t="s">
        <v>587</v>
      </c>
      <c r="F32" s="15" t="s">
        <v>597</v>
      </c>
      <c r="G32" s="45">
        <v>4</v>
      </c>
      <c r="H32" s="15" t="s">
        <v>598</v>
      </c>
      <c r="I32" s="15" t="s">
        <v>599</v>
      </c>
      <c r="J32" s="15" t="s">
        <v>440</v>
      </c>
      <c r="K32" s="46" t="s">
        <v>600</v>
      </c>
      <c r="L32" s="15" t="s">
        <v>592</v>
      </c>
      <c r="M32" s="15" t="s">
        <v>462</v>
      </c>
    </row>
    <row r="33" spans="1:13" ht="39.6" x14ac:dyDescent="0.3">
      <c r="A33" s="15" t="s">
        <v>601</v>
      </c>
      <c r="B33" s="15" t="s">
        <v>602</v>
      </c>
      <c r="C33" s="15" t="s">
        <v>603</v>
      </c>
      <c r="D33" s="44" t="s">
        <v>604</v>
      </c>
      <c r="E33" s="15" t="s">
        <v>587</v>
      </c>
      <c r="F33" s="15" t="s">
        <v>605</v>
      </c>
      <c r="G33" s="45">
        <v>1</v>
      </c>
      <c r="H33" s="15" t="s">
        <v>606</v>
      </c>
      <c r="I33" s="15" t="s">
        <v>599</v>
      </c>
      <c r="J33" s="15" t="s">
        <v>440</v>
      </c>
      <c r="K33" s="46" t="s">
        <v>607</v>
      </c>
      <c r="L33" s="15" t="s">
        <v>592</v>
      </c>
      <c r="M33" s="15" t="s">
        <v>462</v>
      </c>
    </row>
    <row r="34" spans="1:13" ht="39.6" x14ac:dyDescent="0.3">
      <c r="A34" s="15" t="s">
        <v>608</v>
      </c>
      <c r="B34" s="15" t="s">
        <v>567</v>
      </c>
      <c r="C34" s="15" t="s">
        <v>609</v>
      </c>
      <c r="D34" s="44" t="s">
        <v>610</v>
      </c>
      <c r="E34" s="15" t="s">
        <v>611</v>
      </c>
      <c r="F34" s="15" t="s">
        <v>612</v>
      </c>
      <c r="G34" s="45">
        <v>4</v>
      </c>
      <c r="H34" s="15" t="s">
        <v>613</v>
      </c>
      <c r="I34" s="15" t="s">
        <v>614</v>
      </c>
      <c r="J34" s="15" t="s">
        <v>440</v>
      </c>
      <c r="K34" s="46" t="s">
        <v>615</v>
      </c>
      <c r="L34" s="15" t="s">
        <v>592</v>
      </c>
      <c r="M34" s="15" t="s">
        <v>403</v>
      </c>
    </row>
    <row r="35" spans="1:13" ht="39.6" x14ac:dyDescent="0.3">
      <c r="A35" s="15" t="s">
        <v>616</v>
      </c>
      <c r="B35" s="15" t="s">
        <v>617</v>
      </c>
      <c r="C35" s="15" t="s">
        <v>618</v>
      </c>
      <c r="D35" s="44" t="s">
        <v>610</v>
      </c>
      <c r="E35" s="15" t="s">
        <v>611</v>
      </c>
      <c r="F35" s="15" t="s">
        <v>619</v>
      </c>
      <c r="G35" s="45">
        <v>5</v>
      </c>
      <c r="H35" s="15" t="s">
        <v>620</v>
      </c>
      <c r="I35" s="15" t="s">
        <v>621</v>
      </c>
      <c r="J35" s="15" t="s">
        <v>440</v>
      </c>
      <c r="K35" s="46" t="s">
        <v>622</v>
      </c>
      <c r="L35" s="15" t="s">
        <v>592</v>
      </c>
      <c r="M35" s="15" t="s">
        <v>403</v>
      </c>
    </row>
    <row r="36" spans="1:13" ht="26.4" x14ac:dyDescent="0.3">
      <c r="A36" s="15" t="s">
        <v>623</v>
      </c>
      <c r="B36" s="15" t="s">
        <v>550</v>
      </c>
      <c r="C36" s="15" t="s">
        <v>624</v>
      </c>
      <c r="D36" s="44" t="s">
        <v>625</v>
      </c>
      <c r="E36" s="15" t="s">
        <v>626</v>
      </c>
      <c r="F36" s="15" t="s">
        <v>627</v>
      </c>
      <c r="G36" s="45">
        <v>1</v>
      </c>
      <c r="H36" s="15" t="s">
        <v>628</v>
      </c>
      <c r="I36" s="15" t="s">
        <v>629</v>
      </c>
      <c r="J36" s="15" t="s">
        <v>630</v>
      </c>
      <c r="K36" s="46" t="s">
        <v>631</v>
      </c>
      <c r="L36" s="46" t="s">
        <v>632</v>
      </c>
      <c r="M36" s="15" t="s">
        <v>403</v>
      </c>
    </row>
    <row r="37" spans="1:13" ht="39.6" x14ac:dyDescent="0.3">
      <c r="A37" s="15" t="s">
        <v>633</v>
      </c>
      <c r="B37" s="15" t="s">
        <v>550</v>
      </c>
      <c r="C37" s="15" t="s">
        <v>634</v>
      </c>
      <c r="D37" s="44" t="s">
        <v>635</v>
      </c>
      <c r="E37" s="15" t="s">
        <v>475</v>
      </c>
      <c r="F37" s="15" t="s">
        <v>636</v>
      </c>
      <c r="G37" s="45">
        <v>1</v>
      </c>
      <c r="H37" s="15" t="s">
        <v>637</v>
      </c>
      <c r="I37" s="15" t="s">
        <v>638</v>
      </c>
      <c r="J37" s="15" t="s">
        <v>440</v>
      </c>
      <c r="K37" s="46" t="s">
        <v>639</v>
      </c>
      <c r="L37" s="15" t="s">
        <v>461</v>
      </c>
      <c r="M37" s="15" t="s">
        <v>403</v>
      </c>
    </row>
    <row r="38" spans="1:13" ht="39.6" x14ac:dyDescent="0.3">
      <c r="A38" s="15" t="s">
        <v>640</v>
      </c>
      <c r="B38" s="15" t="s">
        <v>550</v>
      </c>
      <c r="C38" s="15" t="s">
        <v>641</v>
      </c>
      <c r="D38" s="44" t="s">
        <v>635</v>
      </c>
      <c r="E38" s="15" t="s">
        <v>475</v>
      </c>
      <c r="F38" s="15" t="s">
        <v>642</v>
      </c>
      <c r="G38" s="45">
        <v>1</v>
      </c>
      <c r="H38" s="15" t="s">
        <v>643</v>
      </c>
      <c r="I38" s="15" t="s">
        <v>638</v>
      </c>
      <c r="J38" s="15" t="s">
        <v>440</v>
      </c>
      <c r="K38" s="46" t="s">
        <v>644</v>
      </c>
      <c r="L38" s="15" t="s">
        <v>461</v>
      </c>
      <c r="M38" s="15" t="s">
        <v>403</v>
      </c>
    </row>
    <row r="39" spans="1:13" ht="26.4" x14ac:dyDescent="0.3">
      <c r="A39" s="15" t="s">
        <v>645</v>
      </c>
      <c r="B39" s="15" t="s">
        <v>559</v>
      </c>
      <c r="C39" s="15" t="s">
        <v>646</v>
      </c>
      <c r="D39" s="44" t="s">
        <v>647</v>
      </c>
      <c r="E39" s="15" t="s">
        <v>475</v>
      </c>
      <c r="F39" s="15" t="s">
        <v>648</v>
      </c>
      <c r="G39" s="45">
        <v>2</v>
      </c>
      <c r="H39" s="15" t="s">
        <v>649</v>
      </c>
      <c r="I39" s="15" t="s">
        <v>650</v>
      </c>
      <c r="J39" s="15" t="s">
        <v>440</v>
      </c>
      <c r="K39" s="46" t="s">
        <v>651</v>
      </c>
      <c r="L39" s="15" t="s">
        <v>461</v>
      </c>
      <c r="M39" s="15" t="s">
        <v>403</v>
      </c>
    </row>
    <row r="40" spans="1:13" ht="66" x14ac:dyDescent="0.3">
      <c r="A40" s="15" t="s">
        <v>652</v>
      </c>
      <c r="B40" s="15" t="s">
        <v>559</v>
      </c>
      <c r="C40" s="15" t="s">
        <v>653</v>
      </c>
      <c r="D40" s="44" t="s">
        <v>654</v>
      </c>
      <c r="E40" s="15" t="s">
        <v>655</v>
      </c>
      <c r="F40" s="15" t="s">
        <v>656</v>
      </c>
      <c r="G40" s="45">
        <v>1</v>
      </c>
      <c r="H40" s="15" t="s">
        <v>657</v>
      </c>
      <c r="I40" s="15" t="s">
        <v>658</v>
      </c>
      <c r="J40" s="15" t="s">
        <v>440</v>
      </c>
      <c r="K40" s="46" t="s">
        <v>538</v>
      </c>
      <c r="L40" s="15" t="s">
        <v>592</v>
      </c>
      <c r="M40" s="15" t="s">
        <v>659</v>
      </c>
    </row>
    <row r="41" spans="1:13" ht="39.6" x14ac:dyDescent="0.3">
      <c r="A41" s="15" t="s">
        <v>660</v>
      </c>
      <c r="B41" s="15" t="s">
        <v>567</v>
      </c>
      <c r="C41" s="15" t="s">
        <v>661</v>
      </c>
      <c r="D41" s="44" t="s">
        <v>662</v>
      </c>
      <c r="E41" s="15" t="s">
        <v>663</v>
      </c>
      <c r="F41" s="15" t="s">
        <v>664</v>
      </c>
      <c r="G41" s="45">
        <v>4</v>
      </c>
      <c r="H41" s="15" t="s">
        <v>665</v>
      </c>
      <c r="I41" s="15" t="s">
        <v>666</v>
      </c>
      <c r="J41" s="15" t="s">
        <v>440</v>
      </c>
      <c r="K41" s="46" t="s">
        <v>667</v>
      </c>
      <c r="L41" s="15" t="s">
        <v>461</v>
      </c>
      <c r="M41" s="15" t="s">
        <v>462</v>
      </c>
    </row>
    <row r="42" spans="1:13" x14ac:dyDescent="0.3">
      <c r="A42" s="81" t="s">
        <v>668</v>
      </c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3"/>
    </row>
    <row r="43" spans="1:13" ht="39.6" x14ac:dyDescent="0.3">
      <c r="A43" s="15" t="s">
        <v>669</v>
      </c>
      <c r="B43" s="15" t="s">
        <v>670</v>
      </c>
      <c r="C43" s="15" t="s">
        <v>671</v>
      </c>
      <c r="D43" s="44" t="s">
        <v>672</v>
      </c>
      <c r="E43" s="15" t="s">
        <v>626</v>
      </c>
      <c r="F43" s="15" t="s">
        <v>673</v>
      </c>
      <c r="G43" s="45">
        <v>2</v>
      </c>
      <c r="H43" s="15" t="s">
        <v>674</v>
      </c>
      <c r="I43" s="15" t="s">
        <v>675</v>
      </c>
      <c r="J43" s="15" t="s">
        <v>440</v>
      </c>
      <c r="K43" s="46" t="s">
        <v>676</v>
      </c>
      <c r="L43" s="46" t="s">
        <v>677</v>
      </c>
      <c r="M43" s="15" t="s">
        <v>431</v>
      </c>
    </row>
    <row r="44" spans="1:13" ht="39.6" x14ac:dyDescent="0.3">
      <c r="A44" s="15" t="s">
        <v>678</v>
      </c>
      <c r="B44" s="15" t="s">
        <v>679</v>
      </c>
      <c r="C44" s="15" t="s">
        <v>680</v>
      </c>
      <c r="D44" s="44" t="s">
        <v>681</v>
      </c>
      <c r="E44" s="15" t="s">
        <v>626</v>
      </c>
      <c r="F44" s="15" t="s">
        <v>682</v>
      </c>
      <c r="G44" s="45">
        <v>2</v>
      </c>
      <c r="H44" s="15" t="s">
        <v>674</v>
      </c>
      <c r="I44" s="15" t="s">
        <v>675</v>
      </c>
      <c r="J44" s="15" t="s">
        <v>440</v>
      </c>
      <c r="K44" s="46" t="s">
        <v>676</v>
      </c>
      <c r="L44" s="46" t="s">
        <v>683</v>
      </c>
      <c r="M44" s="15" t="s">
        <v>471</v>
      </c>
    </row>
    <row r="45" spans="1:13" ht="39.6" x14ac:dyDescent="0.3">
      <c r="A45" s="15" t="s">
        <v>684</v>
      </c>
      <c r="B45" s="15" t="s">
        <v>559</v>
      </c>
      <c r="C45" s="15" t="s">
        <v>685</v>
      </c>
      <c r="D45" s="44" t="s">
        <v>686</v>
      </c>
      <c r="E45" s="15" t="s">
        <v>626</v>
      </c>
      <c r="F45" s="15" t="s">
        <v>687</v>
      </c>
      <c r="G45" s="45">
        <v>1</v>
      </c>
      <c r="H45" s="15" t="s">
        <v>688</v>
      </c>
      <c r="I45" s="15" t="s">
        <v>675</v>
      </c>
      <c r="J45" s="15" t="s">
        <v>440</v>
      </c>
      <c r="K45" s="46" t="s">
        <v>676</v>
      </c>
      <c r="L45" s="46" t="s">
        <v>689</v>
      </c>
      <c r="M45" s="15" t="s">
        <v>471</v>
      </c>
    </row>
    <row r="46" spans="1:13" ht="26.4" x14ac:dyDescent="0.3">
      <c r="A46" s="15" t="s">
        <v>690</v>
      </c>
      <c r="B46" s="15" t="s">
        <v>691</v>
      </c>
      <c r="C46" s="15" t="s">
        <v>692</v>
      </c>
      <c r="D46" s="44" t="s">
        <v>693</v>
      </c>
      <c r="E46" s="15" t="s">
        <v>397</v>
      </c>
      <c r="F46" s="15" t="s">
        <v>694</v>
      </c>
      <c r="G46" s="45">
        <v>1</v>
      </c>
      <c r="H46" s="15" t="s">
        <v>695</v>
      </c>
      <c r="I46" s="15" t="s">
        <v>675</v>
      </c>
      <c r="J46" s="15" t="s">
        <v>440</v>
      </c>
      <c r="K46" s="46" t="s">
        <v>696</v>
      </c>
      <c r="L46" s="46" t="s">
        <v>697</v>
      </c>
      <c r="M46" s="15" t="s">
        <v>403</v>
      </c>
    </row>
    <row r="47" spans="1:13" ht="26.4" x14ac:dyDescent="0.3">
      <c r="A47" s="15" t="s">
        <v>698</v>
      </c>
      <c r="B47" s="15" t="s">
        <v>699</v>
      </c>
      <c r="C47" s="15" t="s">
        <v>692</v>
      </c>
      <c r="D47" s="44" t="s">
        <v>700</v>
      </c>
      <c r="E47" s="15" t="s">
        <v>397</v>
      </c>
      <c r="F47" s="15" t="s">
        <v>701</v>
      </c>
      <c r="G47" s="45">
        <v>1</v>
      </c>
      <c r="H47" s="15" t="s">
        <v>702</v>
      </c>
      <c r="I47" s="15" t="s">
        <v>675</v>
      </c>
      <c r="J47" s="15" t="s">
        <v>440</v>
      </c>
      <c r="K47" s="46" t="s">
        <v>703</v>
      </c>
      <c r="L47" s="46" t="s">
        <v>704</v>
      </c>
      <c r="M47" s="15" t="s">
        <v>403</v>
      </c>
    </row>
    <row r="48" spans="1:13" ht="26.4" x14ac:dyDescent="0.3">
      <c r="A48" s="15" t="s">
        <v>705</v>
      </c>
      <c r="B48" s="15" t="s">
        <v>602</v>
      </c>
      <c r="C48" s="15" t="s">
        <v>706</v>
      </c>
      <c r="D48" s="44" t="s">
        <v>707</v>
      </c>
      <c r="E48" s="15" t="s">
        <v>708</v>
      </c>
      <c r="F48" s="15" t="s">
        <v>709</v>
      </c>
      <c r="G48" s="45">
        <v>1</v>
      </c>
      <c r="H48" s="15" t="s">
        <v>710</v>
      </c>
      <c r="I48" s="15" t="s">
        <v>675</v>
      </c>
      <c r="J48" s="15" t="s">
        <v>440</v>
      </c>
      <c r="K48" s="46" t="s">
        <v>711</v>
      </c>
      <c r="L48" s="46" t="s">
        <v>712</v>
      </c>
      <c r="M48" s="15" t="s">
        <v>403</v>
      </c>
    </row>
    <row r="49" spans="1:13" ht="26.4" x14ac:dyDescent="0.3">
      <c r="A49" s="15" t="s">
        <v>713</v>
      </c>
      <c r="B49" s="15" t="s">
        <v>559</v>
      </c>
      <c r="C49" s="15" t="s">
        <v>714</v>
      </c>
      <c r="D49" s="44" t="s">
        <v>715</v>
      </c>
      <c r="E49" s="15" t="s">
        <v>397</v>
      </c>
      <c r="F49" s="15" t="s">
        <v>716</v>
      </c>
      <c r="G49" s="45">
        <v>1</v>
      </c>
      <c r="H49" s="15" t="s">
        <v>717</v>
      </c>
      <c r="I49" s="15" t="s">
        <v>675</v>
      </c>
      <c r="J49" s="15" t="s">
        <v>440</v>
      </c>
      <c r="K49" s="46" t="s">
        <v>718</v>
      </c>
      <c r="L49" s="46" t="s">
        <v>719</v>
      </c>
      <c r="M49" s="15" t="s">
        <v>403</v>
      </c>
    </row>
    <row r="50" spans="1:13" ht="26.4" x14ac:dyDescent="0.3">
      <c r="A50" s="15" t="s">
        <v>720</v>
      </c>
      <c r="B50" s="15" t="s">
        <v>550</v>
      </c>
      <c r="C50" s="15" t="s">
        <v>692</v>
      </c>
      <c r="D50" s="44" t="s">
        <v>721</v>
      </c>
      <c r="E50" s="15" t="s">
        <v>397</v>
      </c>
      <c r="F50" s="15" t="s">
        <v>722</v>
      </c>
      <c r="G50" s="45">
        <v>1</v>
      </c>
      <c r="H50" s="15" t="s">
        <v>723</v>
      </c>
      <c r="I50" s="15" t="s">
        <v>675</v>
      </c>
      <c r="J50" s="15" t="s">
        <v>440</v>
      </c>
      <c r="K50" s="46" t="s">
        <v>724</v>
      </c>
      <c r="L50" s="46" t="s">
        <v>725</v>
      </c>
      <c r="M50" s="15" t="s">
        <v>403</v>
      </c>
    </row>
    <row r="51" spans="1:13" ht="26.4" x14ac:dyDescent="0.3">
      <c r="A51" s="15" t="s">
        <v>726</v>
      </c>
      <c r="B51" s="15" t="s">
        <v>727</v>
      </c>
      <c r="C51" s="15" t="s">
        <v>728</v>
      </c>
      <c r="D51" s="44" t="s">
        <v>729</v>
      </c>
      <c r="E51" s="15" t="s">
        <v>730</v>
      </c>
      <c r="F51" s="15" t="s">
        <v>731</v>
      </c>
      <c r="G51" s="45">
        <v>5</v>
      </c>
      <c r="H51" s="15" t="s">
        <v>732</v>
      </c>
      <c r="I51" s="15" t="s">
        <v>237</v>
      </c>
      <c r="J51" s="15" t="s">
        <v>630</v>
      </c>
      <c r="K51" s="46" t="s">
        <v>733</v>
      </c>
      <c r="L51" s="46" t="s">
        <v>734</v>
      </c>
      <c r="M51" s="15" t="s">
        <v>431</v>
      </c>
    </row>
    <row r="52" spans="1:13" ht="39.6" x14ac:dyDescent="0.3">
      <c r="A52" s="15" t="s">
        <v>735</v>
      </c>
      <c r="B52" s="15" t="s">
        <v>727</v>
      </c>
      <c r="C52" s="15" t="s">
        <v>736</v>
      </c>
      <c r="D52" s="44" t="s">
        <v>737</v>
      </c>
      <c r="E52" s="15" t="s">
        <v>730</v>
      </c>
      <c r="F52" s="15" t="s">
        <v>731</v>
      </c>
      <c r="G52" s="45">
        <v>2</v>
      </c>
      <c r="H52" s="15" t="s">
        <v>738</v>
      </c>
      <c r="I52" s="15" t="s">
        <v>739</v>
      </c>
      <c r="J52" s="15" t="s">
        <v>630</v>
      </c>
      <c r="K52" s="46" t="s">
        <v>740</v>
      </c>
      <c r="L52" s="46" t="s">
        <v>741</v>
      </c>
      <c r="M52" s="15" t="s">
        <v>431</v>
      </c>
    </row>
    <row r="53" spans="1:13" ht="26.4" x14ac:dyDescent="0.3">
      <c r="A53" s="15" t="s">
        <v>742</v>
      </c>
      <c r="B53" s="15" t="s">
        <v>727</v>
      </c>
      <c r="C53" s="15" t="s">
        <v>743</v>
      </c>
      <c r="D53" s="44" t="s">
        <v>435</v>
      </c>
      <c r="E53" s="15" t="s">
        <v>436</v>
      </c>
      <c r="F53" s="15" t="s">
        <v>744</v>
      </c>
      <c r="G53" s="45">
        <v>7</v>
      </c>
      <c r="H53" s="15" t="s">
        <v>745</v>
      </c>
      <c r="I53" s="15" t="s">
        <v>746</v>
      </c>
      <c r="J53" s="15" t="s">
        <v>440</v>
      </c>
      <c r="K53" s="46" t="s">
        <v>441</v>
      </c>
      <c r="L53" s="46" t="s">
        <v>442</v>
      </c>
      <c r="M53" s="15" t="s">
        <v>392</v>
      </c>
    </row>
    <row r="55" spans="1:13" x14ac:dyDescent="0.3">
      <c r="A55" s="47" t="s">
        <v>747</v>
      </c>
      <c r="G55" s="47">
        <f>SUM(G4:G53)</f>
        <v>83</v>
      </c>
    </row>
    <row r="56" spans="1:13" ht="30" customHeight="1" x14ac:dyDescent="0.3">
      <c r="A56" s="80" t="s">
        <v>748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</row>
  </sheetData>
  <mergeCells count="8">
    <mergeCell ref="A2:M2"/>
    <mergeCell ref="A11:M11"/>
    <mergeCell ref="A42:M42"/>
    <mergeCell ref="A17:M17"/>
    <mergeCell ref="A9:M9"/>
    <mergeCell ref="A4:M4"/>
    <mergeCell ref="A56:M56"/>
    <mergeCell ref="A20:M20"/>
  </mergeCells>
  <hyperlinks>
    <hyperlink ref="K5" r:id="rId1" xr:uid="{00000000-0004-0000-0500-000000000000}"/>
    <hyperlink ref="L5" r:id="rId2" xr:uid="{00000000-0004-0000-0500-000001000000}"/>
    <hyperlink ref="K6" r:id="rId3" xr:uid="{00000000-0004-0000-0500-000002000000}"/>
    <hyperlink ref="L6" r:id="rId4" xr:uid="{00000000-0004-0000-0500-000003000000}"/>
    <hyperlink ref="K7" r:id="rId5" xr:uid="{00000000-0004-0000-0500-000004000000}"/>
    <hyperlink ref="L7" r:id="rId6" xr:uid="{00000000-0004-0000-0500-000005000000}"/>
    <hyperlink ref="K8" r:id="rId7" xr:uid="{00000000-0004-0000-0500-000006000000}"/>
    <hyperlink ref="L8" r:id="rId8" xr:uid="{00000000-0004-0000-0500-000007000000}"/>
    <hyperlink ref="K10" r:id="rId9" xr:uid="{00000000-0004-0000-0500-000008000000}"/>
    <hyperlink ref="K12" r:id="rId10" xr:uid="{00000000-0004-0000-0500-000009000000}"/>
    <hyperlink ref="L12" r:id="rId11" xr:uid="{00000000-0004-0000-0500-00000A000000}"/>
    <hyperlink ref="K13" r:id="rId12" xr:uid="{00000000-0004-0000-0500-00000B000000}"/>
    <hyperlink ref="L13" r:id="rId13" xr:uid="{00000000-0004-0000-0500-00000C000000}"/>
    <hyperlink ref="K14" r:id="rId14" xr:uid="{00000000-0004-0000-0500-00000D000000}"/>
    <hyperlink ref="K15" r:id="rId15" xr:uid="{00000000-0004-0000-0500-00000E000000}"/>
    <hyperlink ref="L15" r:id="rId16" xr:uid="{00000000-0004-0000-0500-00000F000000}"/>
    <hyperlink ref="K16" r:id="rId17" xr:uid="{00000000-0004-0000-0500-000010000000}"/>
    <hyperlink ref="K18" r:id="rId18" xr:uid="{00000000-0004-0000-0500-000011000000}"/>
    <hyperlink ref="L18" r:id="rId19" xr:uid="{00000000-0004-0000-0500-000012000000}"/>
    <hyperlink ref="K19" r:id="rId20" xr:uid="{00000000-0004-0000-0500-000013000000}"/>
    <hyperlink ref="L19" r:id="rId21" xr:uid="{00000000-0004-0000-0500-000014000000}"/>
    <hyperlink ref="K21" r:id="rId22" xr:uid="{00000000-0004-0000-0500-000015000000}"/>
    <hyperlink ref="L21" r:id="rId23" xr:uid="{00000000-0004-0000-0500-000016000000}"/>
    <hyperlink ref="K22" r:id="rId24" xr:uid="{00000000-0004-0000-0500-000017000000}"/>
    <hyperlink ref="L22" r:id="rId25" xr:uid="{00000000-0004-0000-0500-000018000000}"/>
    <hyperlink ref="K23" r:id="rId26" xr:uid="{00000000-0004-0000-0500-000019000000}"/>
    <hyperlink ref="L23" r:id="rId27" xr:uid="{00000000-0004-0000-0500-00001A000000}"/>
    <hyperlink ref="K24" r:id="rId28" xr:uid="{00000000-0004-0000-0500-00001B000000}"/>
    <hyperlink ref="L24" r:id="rId29" xr:uid="{00000000-0004-0000-0500-00001C000000}"/>
    <hyperlink ref="K25" r:id="rId30" xr:uid="{00000000-0004-0000-0500-00001D000000}"/>
    <hyperlink ref="L25" r:id="rId31" xr:uid="{00000000-0004-0000-0500-00001E000000}"/>
    <hyperlink ref="K26" r:id="rId32" xr:uid="{00000000-0004-0000-0500-00001F000000}"/>
    <hyperlink ref="L26" r:id="rId33" xr:uid="{00000000-0004-0000-0500-000020000000}"/>
    <hyperlink ref="K27" r:id="rId34" xr:uid="{00000000-0004-0000-0500-000021000000}"/>
    <hyperlink ref="L27" r:id="rId35" xr:uid="{00000000-0004-0000-0500-000022000000}"/>
    <hyperlink ref="K28" r:id="rId36" xr:uid="{00000000-0004-0000-0500-000023000000}"/>
    <hyperlink ref="L28" r:id="rId37" xr:uid="{00000000-0004-0000-0500-000024000000}"/>
    <hyperlink ref="K29" r:id="rId38" xr:uid="{00000000-0004-0000-0500-000025000000}"/>
    <hyperlink ref="L29" r:id="rId39" xr:uid="{00000000-0004-0000-0500-000026000000}"/>
    <hyperlink ref="K30" r:id="rId40" xr:uid="{00000000-0004-0000-0500-000027000000}"/>
    <hyperlink ref="L30" r:id="rId41" xr:uid="{00000000-0004-0000-0500-000028000000}"/>
    <hyperlink ref="K31" r:id="rId42" xr:uid="{00000000-0004-0000-0500-000029000000}"/>
    <hyperlink ref="K32" r:id="rId43" xr:uid="{00000000-0004-0000-0500-00002A000000}"/>
    <hyperlink ref="K33" r:id="rId44" xr:uid="{00000000-0004-0000-0500-00002B000000}"/>
    <hyperlink ref="K34" r:id="rId45" xr:uid="{00000000-0004-0000-0500-00002C000000}"/>
    <hyperlink ref="K35" r:id="rId46" xr:uid="{00000000-0004-0000-0500-00002D000000}"/>
    <hyperlink ref="K36" r:id="rId47" xr:uid="{00000000-0004-0000-0500-00002E000000}"/>
    <hyperlink ref="L36" r:id="rId48" xr:uid="{00000000-0004-0000-0500-00002F000000}"/>
    <hyperlink ref="K37" r:id="rId49" xr:uid="{00000000-0004-0000-0500-000030000000}"/>
    <hyperlink ref="K38" r:id="rId50" xr:uid="{00000000-0004-0000-0500-000031000000}"/>
    <hyperlink ref="K39" r:id="rId51" xr:uid="{00000000-0004-0000-0500-000032000000}"/>
    <hyperlink ref="K40" r:id="rId52" xr:uid="{00000000-0004-0000-0500-000033000000}"/>
    <hyperlink ref="K41" r:id="rId53" xr:uid="{00000000-0004-0000-0500-000034000000}"/>
    <hyperlink ref="K43" r:id="rId54" xr:uid="{00000000-0004-0000-0500-000035000000}"/>
    <hyperlink ref="L43" r:id="rId55" xr:uid="{00000000-0004-0000-0500-000036000000}"/>
    <hyperlink ref="K44" r:id="rId56" xr:uid="{00000000-0004-0000-0500-000037000000}"/>
    <hyperlink ref="L44" r:id="rId57" xr:uid="{00000000-0004-0000-0500-000038000000}"/>
    <hyperlink ref="K45" r:id="rId58" xr:uid="{00000000-0004-0000-0500-000039000000}"/>
    <hyperlink ref="L45" r:id="rId59" xr:uid="{00000000-0004-0000-0500-00003A000000}"/>
    <hyperlink ref="K46" r:id="rId60" xr:uid="{00000000-0004-0000-0500-00003B000000}"/>
    <hyperlink ref="L46" r:id="rId61" xr:uid="{00000000-0004-0000-0500-00003C000000}"/>
    <hyperlink ref="K47" r:id="rId62" xr:uid="{00000000-0004-0000-0500-00003D000000}"/>
    <hyperlink ref="L47" r:id="rId63" xr:uid="{00000000-0004-0000-0500-00003E000000}"/>
    <hyperlink ref="K48" r:id="rId64" xr:uid="{00000000-0004-0000-0500-00003F000000}"/>
    <hyperlink ref="L48" r:id="rId65" xr:uid="{00000000-0004-0000-0500-000040000000}"/>
    <hyperlink ref="K49" r:id="rId66" xr:uid="{00000000-0004-0000-0500-000041000000}"/>
    <hyperlink ref="L49" r:id="rId67" xr:uid="{00000000-0004-0000-0500-000042000000}"/>
    <hyperlink ref="K50" r:id="rId68" xr:uid="{00000000-0004-0000-0500-000043000000}"/>
    <hyperlink ref="L50" r:id="rId69" xr:uid="{00000000-0004-0000-0500-000044000000}"/>
    <hyperlink ref="K51" r:id="rId70" xr:uid="{00000000-0004-0000-0500-000045000000}"/>
    <hyperlink ref="L51" r:id="rId71" xr:uid="{00000000-0004-0000-0500-000046000000}"/>
    <hyperlink ref="K52" r:id="rId72" xr:uid="{00000000-0004-0000-0500-000047000000}"/>
    <hyperlink ref="L52" r:id="rId73" xr:uid="{00000000-0004-0000-0500-000048000000}"/>
    <hyperlink ref="K53" r:id="rId74" xr:uid="{00000000-0004-0000-0500-000049000000}"/>
    <hyperlink ref="L53" r:id="rId75" xr:uid="{00000000-0004-0000-0500-00004A000000}"/>
  </hyperlink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153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" customWidth="1"/>
    <col min="2" max="2" width="58" customWidth="1"/>
    <col min="3" max="3" width="16" customWidth="1"/>
    <col min="4" max="4" width="10" customWidth="1"/>
    <col min="5" max="5" width="52" customWidth="1"/>
    <col min="6" max="6" width="44" customWidth="1"/>
  </cols>
  <sheetData>
    <row r="1" spans="1:6" ht="17.399999999999999" x14ac:dyDescent="0.3">
      <c r="A1" s="1" t="s">
        <v>749</v>
      </c>
    </row>
    <row r="2" spans="1:6" ht="42" customHeight="1" x14ac:dyDescent="0.3">
      <c r="A2" s="80" t="s">
        <v>750</v>
      </c>
      <c r="B2" s="79"/>
      <c r="C2" s="79"/>
      <c r="D2" s="79"/>
      <c r="E2" s="79"/>
      <c r="F2" s="79"/>
    </row>
    <row r="3" spans="1:6" x14ac:dyDescent="0.3">
      <c r="A3" s="14" t="s">
        <v>41</v>
      </c>
      <c r="B3" s="14" t="s">
        <v>60</v>
      </c>
      <c r="C3" s="14" t="s">
        <v>61</v>
      </c>
      <c r="D3" s="14" t="s">
        <v>62</v>
      </c>
      <c r="E3" s="14" t="s">
        <v>751</v>
      </c>
      <c r="F3" s="14" t="s">
        <v>752</v>
      </c>
    </row>
    <row r="4" spans="1:6" x14ac:dyDescent="0.3">
      <c r="A4" s="81" t="s">
        <v>753</v>
      </c>
      <c r="B4" s="82"/>
      <c r="C4" s="82"/>
      <c r="D4" s="82"/>
      <c r="E4" s="82"/>
      <c r="F4" s="83"/>
    </row>
    <row r="5" spans="1:6" x14ac:dyDescent="0.3">
      <c r="A5" s="27">
        <v>1</v>
      </c>
      <c r="B5" s="15" t="s">
        <v>92</v>
      </c>
      <c r="C5" s="48">
        <v>120</v>
      </c>
      <c r="D5" s="15" t="s">
        <v>93</v>
      </c>
      <c r="E5" s="15" t="s">
        <v>754</v>
      </c>
      <c r="F5" s="15" t="s">
        <v>755</v>
      </c>
    </row>
    <row r="6" spans="1:6" x14ac:dyDescent="0.3">
      <c r="A6" s="27">
        <v>2</v>
      </c>
      <c r="B6" s="15" t="s">
        <v>98</v>
      </c>
      <c r="C6" s="48">
        <v>60</v>
      </c>
      <c r="D6" s="15" t="s">
        <v>99</v>
      </c>
      <c r="E6" s="15" t="s">
        <v>756</v>
      </c>
      <c r="F6" s="15" t="s">
        <v>755</v>
      </c>
    </row>
    <row r="7" spans="1:6" x14ac:dyDescent="0.3">
      <c r="A7" s="27">
        <v>3</v>
      </c>
      <c r="B7" s="15" t="s">
        <v>757</v>
      </c>
      <c r="C7" s="49">
        <v>0.1</v>
      </c>
      <c r="D7" s="15" t="s">
        <v>141</v>
      </c>
      <c r="E7" s="15" t="s">
        <v>758</v>
      </c>
      <c r="F7" s="15" t="s">
        <v>159</v>
      </c>
    </row>
    <row r="8" spans="1:6" x14ac:dyDescent="0.3">
      <c r="A8" s="27">
        <v>4</v>
      </c>
      <c r="B8" s="15" t="s">
        <v>759</v>
      </c>
      <c r="C8" s="50">
        <f>$C$5*(1-$C$7)</f>
        <v>108</v>
      </c>
      <c r="D8" s="15" t="s">
        <v>93</v>
      </c>
      <c r="E8" s="15" t="s">
        <v>760</v>
      </c>
      <c r="F8" s="15"/>
    </row>
    <row r="9" spans="1:6" x14ac:dyDescent="0.3">
      <c r="A9" s="27">
        <v>5</v>
      </c>
      <c r="B9" s="15" t="s">
        <v>761</v>
      </c>
      <c r="C9" s="50">
        <f>$C$5*(1+$C$7)</f>
        <v>132</v>
      </c>
      <c r="D9" s="15" t="s">
        <v>93</v>
      </c>
      <c r="E9" s="15" t="s">
        <v>762</v>
      </c>
      <c r="F9" s="15"/>
    </row>
    <row r="10" spans="1:6" x14ac:dyDescent="0.3">
      <c r="A10" s="27">
        <v>6</v>
      </c>
      <c r="B10" s="15" t="s">
        <v>763</v>
      </c>
      <c r="C10" s="48">
        <v>40</v>
      </c>
      <c r="D10" s="15" t="s">
        <v>157</v>
      </c>
      <c r="E10" s="15" t="s">
        <v>764</v>
      </c>
      <c r="F10" s="15" t="s">
        <v>159</v>
      </c>
    </row>
    <row r="11" spans="1:6" x14ac:dyDescent="0.3">
      <c r="A11" s="27">
        <v>7</v>
      </c>
      <c r="B11" s="15" t="s">
        <v>765</v>
      </c>
      <c r="C11" s="48">
        <v>125</v>
      </c>
      <c r="D11" s="15" t="s">
        <v>157</v>
      </c>
      <c r="E11" s="15" t="s">
        <v>766</v>
      </c>
      <c r="F11" s="15" t="s">
        <v>767</v>
      </c>
    </row>
    <row r="12" spans="1:6" ht="26.4" x14ac:dyDescent="0.3">
      <c r="A12" s="27">
        <v>8</v>
      </c>
      <c r="B12" s="15" t="s">
        <v>140</v>
      </c>
      <c r="C12" s="49">
        <v>0.03</v>
      </c>
      <c r="D12" s="15" t="s">
        <v>141</v>
      </c>
      <c r="E12" s="15" t="s">
        <v>768</v>
      </c>
      <c r="F12" s="15" t="s">
        <v>769</v>
      </c>
    </row>
    <row r="13" spans="1:6" x14ac:dyDescent="0.3">
      <c r="A13" s="27">
        <v>9</v>
      </c>
      <c r="B13" s="15" t="s">
        <v>770</v>
      </c>
      <c r="C13" s="51">
        <v>0.01</v>
      </c>
      <c r="D13" s="15" t="s">
        <v>146</v>
      </c>
      <c r="E13" s="15" t="s">
        <v>771</v>
      </c>
      <c r="F13" s="15" t="s">
        <v>772</v>
      </c>
    </row>
    <row r="14" spans="1:6" x14ac:dyDescent="0.3">
      <c r="A14" s="27">
        <v>10</v>
      </c>
      <c r="B14" s="15" t="s">
        <v>773</v>
      </c>
      <c r="C14" s="49">
        <v>0.3</v>
      </c>
      <c r="D14" s="15" t="s">
        <v>774</v>
      </c>
      <c r="E14" s="15" t="s">
        <v>775</v>
      </c>
      <c r="F14" s="15" t="s">
        <v>776</v>
      </c>
    </row>
    <row r="15" spans="1:6" ht="26.4" x14ac:dyDescent="0.3">
      <c r="A15" s="27">
        <v>11</v>
      </c>
      <c r="B15" s="15" t="s">
        <v>777</v>
      </c>
      <c r="C15" s="52">
        <v>0.75</v>
      </c>
      <c r="D15" s="15"/>
      <c r="E15" s="15" t="s">
        <v>778</v>
      </c>
      <c r="F15" s="15" t="s">
        <v>779</v>
      </c>
    </row>
    <row r="16" spans="1:6" x14ac:dyDescent="0.3">
      <c r="A16" s="27">
        <v>12</v>
      </c>
      <c r="B16" s="15" t="s">
        <v>780</v>
      </c>
      <c r="C16" s="52">
        <v>1.05</v>
      </c>
      <c r="D16" s="15" t="s">
        <v>258</v>
      </c>
      <c r="E16" s="15" t="s">
        <v>781</v>
      </c>
      <c r="F16" s="15" t="s">
        <v>132</v>
      </c>
    </row>
    <row r="17" spans="1:6" ht="26.4" x14ac:dyDescent="0.3">
      <c r="A17" s="27">
        <v>13</v>
      </c>
      <c r="B17" s="15" t="s">
        <v>782</v>
      </c>
      <c r="C17" s="52">
        <v>0.75</v>
      </c>
      <c r="D17" s="15"/>
      <c r="E17" s="15" t="s">
        <v>783</v>
      </c>
      <c r="F17" s="15" t="s">
        <v>784</v>
      </c>
    </row>
    <row r="18" spans="1:6" x14ac:dyDescent="0.3">
      <c r="A18" s="81" t="s">
        <v>785</v>
      </c>
      <c r="B18" s="82"/>
      <c r="C18" s="82"/>
      <c r="D18" s="82"/>
      <c r="E18" s="82"/>
      <c r="F18" s="83"/>
    </row>
    <row r="19" spans="1:6" x14ac:dyDescent="0.3">
      <c r="A19" s="27">
        <v>14</v>
      </c>
      <c r="B19" s="15" t="s">
        <v>786</v>
      </c>
      <c r="C19" s="53">
        <v>151.9</v>
      </c>
      <c r="D19" s="15" t="s">
        <v>4</v>
      </c>
      <c r="E19" s="15" t="s">
        <v>787</v>
      </c>
      <c r="F19" s="15" t="s">
        <v>788</v>
      </c>
    </row>
    <row r="20" spans="1:6" x14ac:dyDescent="0.3">
      <c r="A20" s="54">
        <v>15</v>
      </c>
      <c r="B20" s="55" t="s">
        <v>789</v>
      </c>
      <c r="C20" s="56">
        <f>SUM(Convertidores!C10:G10)</f>
        <v>151.9</v>
      </c>
      <c r="D20" s="55" t="s">
        <v>4</v>
      </c>
      <c r="E20" s="55" t="s">
        <v>790</v>
      </c>
      <c r="F20" s="55" t="s">
        <v>791</v>
      </c>
    </row>
    <row r="21" spans="1:6" x14ac:dyDescent="0.3">
      <c r="A21" s="27">
        <v>16</v>
      </c>
      <c r="B21" s="15" t="s">
        <v>792</v>
      </c>
      <c r="C21" s="57" t="str">
        <f>IF(ABS($C$20-$C$19)&lt;0.05,"OK","REVISAR")</f>
        <v>OK</v>
      </c>
      <c r="D21" s="15"/>
      <c r="E21" s="15" t="s">
        <v>793</v>
      </c>
      <c r="F21" s="15"/>
    </row>
    <row r="22" spans="1:6" ht="26.4" x14ac:dyDescent="0.3">
      <c r="A22" s="54">
        <v>17</v>
      </c>
      <c r="B22" s="55" t="s">
        <v>794</v>
      </c>
      <c r="C22" s="56">
        <f>SUM(Convertidores!C12:G12)</f>
        <v>176.74533799533799</v>
      </c>
      <c r="D22" s="55" t="s">
        <v>4</v>
      </c>
      <c r="E22" s="55" t="s">
        <v>795</v>
      </c>
      <c r="F22" s="55" t="s">
        <v>791</v>
      </c>
    </row>
    <row r="23" spans="1:6" x14ac:dyDescent="0.3">
      <c r="A23" s="27">
        <v>18</v>
      </c>
      <c r="B23" s="15" t="s">
        <v>796</v>
      </c>
      <c r="C23" s="58">
        <f>$C$20/$C$22</f>
        <v>0.85942860910994257</v>
      </c>
      <c r="D23" s="15"/>
      <c r="E23" s="15" t="s">
        <v>797</v>
      </c>
      <c r="F23" s="15"/>
    </row>
    <row r="24" spans="1:6" x14ac:dyDescent="0.3">
      <c r="A24" s="81" t="s">
        <v>798</v>
      </c>
      <c r="B24" s="82"/>
      <c r="C24" s="82"/>
      <c r="D24" s="82"/>
      <c r="E24" s="82"/>
      <c r="F24" s="83"/>
    </row>
    <row r="25" spans="1:6" ht="52.8" x14ac:dyDescent="0.3">
      <c r="A25" s="27">
        <v>19</v>
      </c>
      <c r="B25" s="15" t="s">
        <v>799</v>
      </c>
      <c r="C25" s="57" t="s">
        <v>800</v>
      </c>
      <c r="D25" s="15"/>
      <c r="E25" s="15" t="s">
        <v>801</v>
      </c>
      <c r="F25" s="15" t="s">
        <v>802</v>
      </c>
    </row>
    <row r="26" spans="1:6" x14ac:dyDescent="0.3">
      <c r="A26" s="27">
        <v>20</v>
      </c>
      <c r="B26" s="15" t="s">
        <v>803</v>
      </c>
      <c r="C26" s="48">
        <v>400</v>
      </c>
      <c r="D26" s="15" t="s">
        <v>320</v>
      </c>
      <c r="E26" s="15" t="s">
        <v>804</v>
      </c>
      <c r="F26" s="15" t="s">
        <v>802</v>
      </c>
    </row>
    <row r="27" spans="1:6" x14ac:dyDescent="0.3">
      <c r="A27" s="27">
        <v>21</v>
      </c>
      <c r="B27" s="15" t="s">
        <v>805</v>
      </c>
      <c r="C27" s="48">
        <v>20</v>
      </c>
      <c r="D27" s="15" t="s">
        <v>93</v>
      </c>
      <c r="E27" s="15" t="s">
        <v>806</v>
      </c>
      <c r="F27" s="15" t="s">
        <v>802</v>
      </c>
    </row>
    <row r="28" spans="1:6" x14ac:dyDescent="0.3">
      <c r="A28" s="27">
        <v>22</v>
      </c>
      <c r="B28" s="15" t="s">
        <v>807</v>
      </c>
      <c r="C28" s="53">
        <v>10</v>
      </c>
      <c r="D28" s="15" t="s">
        <v>191</v>
      </c>
      <c r="E28" s="15" t="s">
        <v>808</v>
      </c>
      <c r="F28" s="15" t="s">
        <v>802</v>
      </c>
    </row>
    <row r="29" spans="1:6" ht="26.4" x14ac:dyDescent="0.3">
      <c r="A29" s="27">
        <v>23</v>
      </c>
      <c r="B29" s="15" t="s">
        <v>809</v>
      </c>
      <c r="C29" s="48">
        <v>2</v>
      </c>
      <c r="D29" s="15"/>
      <c r="E29" s="15" t="s">
        <v>810</v>
      </c>
      <c r="F29" s="15" t="s">
        <v>811</v>
      </c>
    </row>
    <row r="30" spans="1:6" x14ac:dyDescent="0.3">
      <c r="A30" s="27">
        <v>24</v>
      </c>
      <c r="B30" s="15" t="s">
        <v>812</v>
      </c>
      <c r="C30" s="50">
        <f>$C$28*$C$29</f>
        <v>20</v>
      </c>
      <c r="D30" s="15" t="s">
        <v>191</v>
      </c>
      <c r="E30" s="15" t="s">
        <v>813</v>
      </c>
      <c r="F30" s="15"/>
    </row>
    <row r="31" spans="1:6" x14ac:dyDescent="0.3">
      <c r="A31" s="27">
        <v>25</v>
      </c>
      <c r="B31" s="15" t="s">
        <v>814</v>
      </c>
      <c r="C31" s="53">
        <v>20.7</v>
      </c>
      <c r="D31" s="15" t="s">
        <v>93</v>
      </c>
      <c r="E31" s="15" t="s">
        <v>815</v>
      </c>
      <c r="F31" s="15" t="s">
        <v>816</v>
      </c>
    </row>
    <row r="32" spans="1:6" x14ac:dyDescent="0.3">
      <c r="A32" s="27">
        <v>26</v>
      </c>
      <c r="B32" s="15" t="s">
        <v>817</v>
      </c>
      <c r="C32" s="53">
        <v>19.8</v>
      </c>
      <c r="D32" s="15" t="s">
        <v>93</v>
      </c>
      <c r="E32" s="15" t="s">
        <v>815</v>
      </c>
      <c r="F32" s="15" t="s">
        <v>816</v>
      </c>
    </row>
    <row r="33" spans="1:6" x14ac:dyDescent="0.3">
      <c r="A33" s="27">
        <v>27</v>
      </c>
      <c r="B33" s="15" t="s">
        <v>818</v>
      </c>
      <c r="C33" s="53">
        <v>18.600000000000001</v>
      </c>
      <c r="D33" s="15" t="s">
        <v>191</v>
      </c>
      <c r="E33" s="15" t="s">
        <v>819</v>
      </c>
      <c r="F33" s="15" t="s">
        <v>816</v>
      </c>
    </row>
    <row r="34" spans="1:6" x14ac:dyDescent="0.3">
      <c r="A34" s="27">
        <v>28</v>
      </c>
      <c r="B34" s="15" t="s">
        <v>820</v>
      </c>
      <c r="C34" s="58">
        <f>($C$31-$C$32)/$C$32</f>
        <v>4.5454545454545379E-2</v>
      </c>
      <c r="D34" s="15" t="s">
        <v>821</v>
      </c>
      <c r="E34" s="15" t="s">
        <v>822</v>
      </c>
      <c r="F34" s="15"/>
    </row>
    <row r="35" spans="1:6" x14ac:dyDescent="0.3">
      <c r="A35" s="27">
        <v>29</v>
      </c>
      <c r="B35" s="15" t="s">
        <v>823</v>
      </c>
      <c r="C35" s="52">
        <v>0.95</v>
      </c>
      <c r="D35" s="15"/>
      <c r="E35" s="15" t="s">
        <v>824</v>
      </c>
      <c r="F35" s="15" t="s">
        <v>159</v>
      </c>
    </row>
    <row r="36" spans="1:6" x14ac:dyDescent="0.3">
      <c r="A36" s="27">
        <v>30</v>
      </c>
      <c r="B36" s="15" t="s">
        <v>825</v>
      </c>
      <c r="C36" s="59">
        <v>3500</v>
      </c>
      <c r="D36" s="15" t="s">
        <v>10</v>
      </c>
      <c r="E36" s="15" t="s">
        <v>826</v>
      </c>
      <c r="F36" s="15" t="s">
        <v>802</v>
      </c>
    </row>
    <row r="37" spans="1:6" x14ac:dyDescent="0.3">
      <c r="A37" s="81" t="s">
        <v>827</v>
      </c>
      <c r="B37" s="82"/>
      <c r="C37" s="82"/>
      <c r="D37" s="82"/>
      <c r="E37" s="82"/>
      <c r="F37" s="83"/>
    </row>
    <row r="38" spans="1:6" x14ac:dyDescent="0.3">
      <c r="A38" s="27">
        <v>31</v>
      </c>
      <c r="B38" s="15" t="s">
        <v>828</v>
      </c>
      <c r="C38" s="52">
        <v>1.1000000000000001</v>
      </c>
      <c r="D38" s="15" t="s">
        <v>10</v>
      </c>
      <c r="E38" s="15" t="s">
        <v>829</v>
      </c>
      <c r="F38" s="15" t="s">
        <v>830</v>
      </c>
    </row>
    <row r="39" spans="1:6" x14ac:dyDescent="0.3">
      <c r="A39" s="27">
        <v>32</v>
      </c>
      <c r="B39" s="15" t="s">
        <v>831</v>
      </c>
      <c r="C39" s="52">
        <v>0.7</v>
      </c>
      <c r="D39" s="15" t="s">
        <v>10</v>
      </c>
      <c r="E39" s="15" t="s">
        <v>832</v>
      </c>
      <c r="F39" s="15" t="s">
        <v>159</v>
      </c>
    </row>
    <row r="40" spans="1:6" x14ac:dyDescent="0.3">
      <c r="A40" s="27">
        <v>33</v>
      </c>
      <c r="B40" s="15" t="s">
        <v>833</v>
      </c>
      <c r="C40" s="53">
        <v>3</v>
      </c>
      <c r="D40" s="15" t="s">
        <v>10</v>
      </c>
      <c r="E40" s="15" t="s">
        <v>834</v>
      </c>
      <c r="F40" s="15" t="s">
        <v>835</v>
      </c>
    </row>
    <row r="41" spans="1:6" x14ac:dyDescent="0.3">
      <c r="A41" s="27">
        <v>34</v>
      </c>
      <c r="B41" s="15" t="s">
        <v>836</v>
      </c>
      <c r="C41" s="60">
        <f>$C$32*(1-$C$7)</f>
        <v>17.82</v>
      </c>
      <c r="D41" s="15" t="s">
        <v>93</v>
      </c>
      <c r="E41" s="15" t="s">
        <v>837</v>
      </c>
      <c r="F41" s="15" t="s">
        <v>838</v>
      </c>
    </row>
    <row r="42" spans="1:6" x14ac:dyDescent="0.3">
      <c r="A42" s="27">
        <v>35</v>
      </c>
      <c r="B42" s="15" t="s">
        <v>839</v>
      </c>
      <c r="C42" s="60">
        <f>$C$41*SQRT(2)</f>
        <v>25.201285681488557</v>
      </c>
      <c r="D42" s="15" t="s">
        <v>10</v>
      </c>
      <c r="E42" s="15" t="s">
        <v>840</v>
      </c>
      <c r="F42" s="15"/>
    </row>
    <row r="43" spans="1:6" x14ac:dyDescent="0.3">
      <c r="A43" s="27">
        <v>36</v>
      </c>
      <c r="B43" s="15" t="s">
        <v>841</v>
      </c>
      <c r="C43" s="60">
        <f>$C$42-2*$C$38</f>
        <v>23.001285681488557</v>
      </c>
      <c r="D43" s="15" t="s">
        <v>10</v>
      </c>
      <c r="E43" s="15" t="s">
        <v>842</v>
      </c>
      <c r="F43" s="15"/>
    </row>
    <row r="44" spans="1:6" x14ac:dyDescent="0.3">
      <c r="A44" s="27">
        <v>37</v>
      </c>
      <c r="B44" s="15" t="s">
        <v>843</v>
      </c>
      <c r="C44" s="60">
        <f>$C$43-$C$40/2</f>
        <v>21.501285681488557</v>
      </c>
      <c r="D44" s="15" t="s">
        <v>10</v>
      </c>
      <c r="E44" s="15" t="s">
        <v>844</v>
      </c>
      <c r="F44" s="15"/>
    </row>
    <row r="45" spans="1:6" x14ac:dyDescent="0.3">
      <c r="A45" s="27">
        <v>38</v>
      </c>
      <c r="B45" s="15" t="s">
        <v>845</v>
      </c>
      <c r="C45" s="60">
        <f>$C$22/$C$44</f>
        <v>8.2202218329439791</v>
      </c>
      <c r="D45" s="15" t="s">
        <v>117</v>
      </c>
      <c r="E45" s="15" t="s">
        <v>846</v>
      </c>
      <c r="F45" s="15"/>
    </row>
    <row r="46" spans="1:6" x14ac:dyDescent="0.3">
      <c r="A46" s="27">
        <v>39</v>
      </c>
      <c r="B46" s="15" t="s">
        <v>847</v>
      </c>
      <c r="C46" s="61">
        <f>$C$45/(2*$C$6*$C$40)*1000000</f>
        <v>22833.949535955497</v>
      </c>
      <c r="D46" s="15" t="s">
        <v>14</v>
      </c>
      <c r="E46" s="15" t="s">
        <v>848</v>
      </c>
      <c r="F46" s="15" t="s">
        <v>849</v>
      </c>
    </row>
    <row r="47" spans="1:6" x14ac:dyDescent="0.3">
      <c r="A47" s="27">
        <v>40</v>
      </c>
      <c r="B47" s="15" t="s">
        <v>850</v>
      </c>
      <c r="C47" s="59">
        <v>10000</v>
      </c>
      <c r="D47" s="15" t="s">
        <v>14</v>
      </c>
      <c r="E47" s="15" t="s">
        <v>851</v>
      </c>
      <c r="F47" s="15" t="s">
        <v>291</v>
      </c>
    </row>
    <row r="48" spans="1:6" x14ac:dyDescent="0.3">
      <c r="A48" s="27">
        <v>41</v>
      </c>
      <c r="B48" s="15" t="s">
        <v>852</v>
      </c>
      <c r="C48" s="48">
        <v>3</v>
      </c>
      <c r="D48" s="15"/>
      <c r="E48" s="15" t="s">
        <v>853</v>
      </c>
      <c r="F48" s="15" t="s">
        <v>132</v>
      </c>
    </row>
    <row r="49" spans="1:6" x14ac:dyDescent="0.3">
      <c r="A49" s="27">
        <v>42</v>
      </c>
      <c r="B49" s="15" t="s">
        <v>137</v>
      </c>
      <c r="C49" s="61">
        <f>$C$47*$C$48</f>
        <v>30000</v>
      </c>
      <c r="D49" s="15" t="s">
        <v>14</v>
      </c>
      <c r="E49" s="15" t="s">
        <v>854</v>
      </c>
      <c r="F49" s="15"/>
    </row>
    <row r="50" spans="1:6" x14ac:dyDescent="0.3">
      <c r="A50" s="27">
        <v>43</v>
      </c>
      <c r="B50" s="15" t="s">
        <v>855</v>
      </c>
      <c r="C50" s="57" t="str">
        <f>IF($C$49&gt;=$C$46,"OK","REVISAR")</f>
        <v>OK</v>
      </c>
      <c r="D50" s="15"/>
      <c r="E50" s="15" t="s">
        <v>856</v>
      </c>
      <c r="F50" s="15"/>
    </row>
    <row r="51" spans="1:6" x14ac:dyDescent="0.3">
      <c r="A51" s="27">
        <v>44</v>
      </c>
      <c r="B51" s="15" t="s">
        <v>134</v>
      </c>
      <c r="C51" s="60">
        <f>$C$45/(2*$C$6*$C$49/1000000)</f>
        <v>2.2833949535955496</v>
      </c>
      <c r="D51" s="15" t="s">
        <v>10</v>
      </c>
      <c r="E51" s="15" t="s">
        <v>857</v>
      </c>
      <c r="F51" s="15"/>
    </row>
    <row r="52" spans="1:6" ht="26.4" x14ac:dyDescent="0.3">
      <c r="A52" s="54">
        <v>45</v>
      </c>
      <c r="B52" s="55" t="s">
        <v>858</v>
      </c>
      <c r="C52" s="62">
        <f>$C$43-$C$51</f>
        <v>20.717890727893007</v>
      </c>
      <c r="D52" s="55" t="s">
        <v>10</v>
      </c>
      <c r="E52" s="55" t="s">
        <v>859</v>
      </c>
      <c r="F52" s="55"/>
    </row>
    <row r="53" spans="1:6" x14ac:dyDescent="0.3">
      <c r="A53" s="27">
        <v>46</v>
      </c>
      <c r="B53" s="15" t="s">
        <v>860</v>
      </c>
      <c r="C53" s="53">
        <v>15</v>
      </c>
      <c r="D53" s="15" t="s">
        <v>10</v>
      </c>
      <c r="E53" s="15" t="s">
        <v>861</v>
      </c>
      <c r="F53" s="15" t="s">
        <v>862</v>
      </c>
    </row>
    <row r="54" spans="1:6" x14ac:dyDescent="0.3">
      <c r="A54" s="27">
        <v>47</v>
      </c>
      <c r="B54" s="15" t="s">
        <v>863</v>
      </c>
      <c r="C54" s="52">
        <v>0.5</v>
      </c>
      <c r="D54" s="15" t="s">
        <v>10</v>
      </c>
      <c r="E54" s="15" t="s">
        <v>864</v>
      </c>
      <c r="F54" s="15" t="s">
        <v>865</v>
      </c>
    </row>
    <row r="55" spans="1:6" x14ac:dyDescent="0.3">
      <c r="A55" s="27">
        <v>48</v>
      </c>
      <c r="B55" s="15" t="s">
        <v>866</v>
      </c>
      <c r="C55" s="52">
        <v>0.91</v>
      </c>
      <c r="D55" s="15"/>
      <c r="E55" s="15" t="s">
        <v>867</v>
      </c>
      <c r="F55" s="15" t="s">
        <v>868</v>
      </c>
    </row>
    <row r="56" spans="1:6" x14ac:dyDescent="0.3">
      <c r="A56" s="27">
        <v>49</v>
      </c>
      <c r="B56" s="15" t="s">
        <v>869</v>
      </c>
      <c r="C56" s="23">
        <f>($C$53+$C$54)/$C$55+Convertidores!$G$26-$C$54</f>
        <v>16.892967032967032</v>
      </c>
      <c r="D56" s="15" t="s">
        <v>10</v>
      </c>
      <c r="E56" s="15" t="s">
        <v>870</v>
      </c>
      <c r="F56" s="15"/>
    </row>
    <row r="57" spans="1:6" x14ac:dyDescent="0.3">
      <c r="A57" s="27">
        <v>50</v>
      </c>
      <c r="B57" s="15" t="s">
        <v>871</v>
      </c>
      <c r="C57" s="53">
        <v>15</v>
      </c>
      <c r="D57" s="15" t="s">
        <v>10</v>
      </c>
      <c r="E57" s="15" t="s">
        <v>872</v>
      </c>
      <c r="F57" s="15" t="s">
        <v>873</v>
      </c>
    </row>
    <row r="58" spans="1:6" x14ac:dyDescent="0.3">
      <c r="A58" s="27">
        <v>51</v>
      </c>
      <c r="B58" s="15" t="s">
        <v>874</v>
      </c>
      <c r="C58" s="53">
        <v>1</v>
      </c>
      <c r="D58" s="15" t="s">
        <v>10</v>
      </c>
      <c r="E58" s="15" t="s">
        <v>875</v>
      </c>
      <c r="F58" s="15" t="s">
        <v>132</v>
      </c>
    </row>
    <row r="59" spans="1:6" x14ac:dyDescent="0.3">
      <c r="A59" s="54">
        <v>52</v>
      </c>
      <c r="B59" s="55" t="s">
        <v>876</v>
      </c>
      <c r="C59" s="62">
        <f>MAX($C$56,$C$57)+$C$58</f>
        <v>17.892967032967032</v>
      </c>
      <c r="D59" s="55" t="s">
        <v>10</v>
      </c>
      <c r="E59" s="55" t="s">
        <v>877</v>
      </c>
      <c r="F59" s="55" t="s">
        <v>878</v>
      </c>
    </row>
    <row r="60" spans="1:6" x14ac:dyDescent="0.3">
      <c r="A60" s="27">
        <v>53</v>
      </c>
      <c r="B60" s="15" t="s">
        <v>879</v>
      </c>
      <c r="C60" s="57" t="str">
        <f>IF($C$52&gt;=$C$59,"OK","REVISAR")</f>
        <v>OK</v>
      </c>
      <c r="D60" s="15"/>
      <c r="E60" s="15" t="s">
        <v>880</v>
      </c>
      <c r="F60" s="15"/>
    </row>
    <row r="61" spans="1:6" x14ac:dyDescent="0.3">
      <c r="A61" s="27">
        <v>54</v>
      </c>
      <c r="B61" s="15" t="s">
        <v>881</v>
      </c>
      <c r="C61" s="60">
        <f>$C$31*(1+$C$7)</f>
        <v>22.77</v>
      </c>
      <c r="D61" s="15" t="s">
        <v>93</v>
      </c>
      <c r="E61" s="15" t="s">
        <v>882</v>
      </c>
      <c r="F61" s="15" t="s">
        <v>883</v>
      </c>
    </row>
    <row r="62" spans="1:6" x14ac:dyDescent="0.3">
      <c r="A62" s="27">
        <v>55</v>
      </c>
      <c r="B62" s="15" t="s">
        <v>884</v>
      </c>
      <c r="C62" s="60">
        <f>$C$61*SQRT(2)</f>
        <v>32.201642815235374</v>
      </c>
      <c r="D62" s="15" t="s">
        <v>10</v>
      </c>
      <c r="E62" s="15" t="s">
        <v>840</v>
      </c>
      <c r="F62" s="15"/>
    </row>
    <row r="63" spans="1:6" x14ac:dyDescent="0.3">
      <c r="A63" s="54">
        <v>56</v>
      </c>
      <c r="B63" s="55" t="s">
        <v>885</v>
      </c>
      <c r="C63" s="62">
        <f>$C$62-2*$C$39</f>
        <v>30.801642815235375</v>
      </c>
      <c r="D63" s="55" t="s">
        <v>10</v>
      </c>
      <c r="E63" s="55" t="s">
        <v>886</v>
      </c>
      <c r="F63" s="55"/>
    </row>
    <row r="64" spans="1:6" x14ac:dyDescent="0.3">
      <c r="A64" s="27">
        <v>57</v>
      </c>
      <c r="B64" s="15" t="s">
        <v>887</v>
      </c>
      <c r="C64" s="48">
        <v>40</v>
      </c>
      <c r="D64" s="15" t="s">
        <v>10</v>
      </c>
      <c r="E64" s="15" t="s">
        <v>888</v>
      </c>
      <c r="F64" s="15" t="s">
        <v>889</v>
      </c>
    </row>
    <row r="65" spans="1:6" x14ac:dyDescent="0.3">
      <c r="A65" s="27">
        <v>58</v>
      </c>
      <c r="B65" s="15" t="s">
        <v>890</v>
      </c>
      <c r="C65" s="57" t="str">
        <f>IF($C$63&lt;=$C$64,"OK","REVISAR")</f>
        <v>OK</v>
      </c>
      <c r="D65" s="15"/>
      <c r="E65" s="15" t="s">
        <v>891</v>
      </c>
      <c r="F65" s="15"/>
    </row>
    <row r="66" spans="1:6" x14ac:dyDescent="0.3">
      <c r="A66" s="27">
        <v>59</v>
      </c>
      <c r="B66" s="15" t="s">
        <v>892</v>
      </c>
      <c r="C66" s="63">
        <f>1-$C$63/$C$64</f>
        <v>0.22995892961911557</v>
      </c>
      <c r="D66" s="15" t="s">
        <v>821</v>
      </c>
      <c r="E66" s="15" t="s">
        <v>893</v>
      </c>
      <c r="F66" s="15"/>
    </row>
    <row r="67" spans="1:6" x14ac:dyDescent="0.3">
      <c r="A67" s="27">
        <v>60</v>
      </c>
      <c r="B67" s="15" t="s">
        <v>894</v>
      </c>
      <c r="C67" s="48">
        <v>50</v>
      </c>
      <c r="D67" s="15" t="s">
        <v>10</v>
      </c>
      <c r="E67" s="15" t="s">
        <v>895</v>
      </c>
      <c r="F67" s="15" t="s">
        <v>291</v>
      </c>
    </row>
    <row r="68" spans="1:6" x14ac:dyDescent="0.3">
      <c r="A68" s="27">
        <v>61</v>
      </c>
      <c r="B68" s="15" t="s">
        <v>896</v>
      </c>
      <c r="C68" s="60">
        <f>$C$67/$C$63</f>
        <v>1.6232900400776211</v>
      </c>
      <c r="D68" s="15" t="s">
        <v>258</v>
      </c>
      <c r="E68" s="15" t="s">
        <v>897</v>
      </c>
      <c r="F68" s="15"/>
    </row>
    <row r="69" spans="1:6" x14ac:dyDescent="0.3">
      <c r="A69" s="27">
        <v>62</v>
      </c>
      <c r="B69" s="15" t="s">
        <v>898</v>
      </c>
      <c r="C69" s="57" t="str">
        <f>IF($C$68&gt;=1.25,"OK","REVISAR")</f>
        <v>OK</v>
      </c>
      <c r="D69" s="15"/>
      <c r="E69" s="15" t="s">
        <v>899</v>
      </c>
      <c r="F69" s="15"/>
    </row>
    <row r="70" spans="1:6" ht="26.4" x14ac:dyDescent="0.3">
      <c r="A70" s="27">
        <v>63</v>
      </c>
      <c r="B70" s="15" t="s">
        <v>900</v>
      </c>
      <c r="C70" s="50">
        <f>$C$32*SQRT(2)-2*$C$38-$C$51/2</f>
        <v>24.659731058189511</v>
      </c>
      <c r="D70" s="15" t="s">
        <v>10</v>
      </c>
      <c r="E70" s="15" t="s">
        <v>901</v>
      </c>
      <c r="F70" s="15" t="s">
        <v>902</v>
      </c>
    </row>
    <row r="71" spans="1:6" x14ac:dyDescent="0.3">
      <c r="A71" s="81" t="s">
        <v>903</v>
      </c>
      <c r="B71" s="82"/>
      <c r="C71" s="82"/>
      <c r="D71" s="82"/>
      <c r="E71" s="82"/>
      <c r="F71" s="83"/>
    </row>
    <row r="72" spans="1:6" ht="26.4" x14ac:dyDescent="0.3">
      <c r="A72" s="27">
        <v>64</v>
      </c>
      <c r="B72" s="15" t="s">
        <v>904</v>
      </c>
      <c r="C72" s="52">
        <v>1.8</v>
      </c>
      <c r="D72" s="15" t="s">
        <v>258</v>
      </c>
      <c r="E72" s="15" t="s">
        <v>905</v>
      </c>
      <c r="F72" s="15" t="s">
        <v>906</v>
      </c>
    </row>
    <row r="73" spans="1:6" x14ac:dyDescent="0.3">
      <c r="A73" s="54">
        <v>65</v>
      </c>
      <c r="B73" s="55" t="s">
        <v>907</v>
      </c>
      <c r="C73" s="62">
        <f>$C$72*$C$45</f>
        <v>14.796399299299162</v>
      </c>
      <c r="D73" s="55" t="s">
        <v>191</v>
      </c>
      <c r="E73" s="55" t="s">
        <v>908</v>
      </c>
      <c r="F73" s="55"/>
    </row>
    <row r="74" spans="1:6" x14ac:dyDescent="0.3">
      <c r="A74" s="27">
        <v>66</v>
      </c>
      <c r="B74" s="15" t="s">
        <v>909</v>
      </c>
      <c r="C74" s="64">
        <f>$C$27*$C$73</f>
        <v>295.92798598598324</v>
      </c>
      <c r="D74" s="15" t="s">
        <v>320</v>
      </c>
      <c r="E74" s="15" t="s">
        <v>910</v>
      </c>
      <c r="F74" s="15"/>
    </row>
    <row r="75" spans="1:6" x14ac:dyDescent="0.3">
      <c r="A75" s="27">
        <v>67</v>
      </c>
      <c r="B75" s="15" t="s">
        <v>911</v>
      </c>
      <c r="C75" s="49">
        <v>0.2</v>
      </c>
      <c r="D75" s="15"/>
      <c r="E75" s="15" t="s">
        <v>912</v>
      </c>
      <c r="F75" s="15" t="s">
        <v>132</v>
      </c>
    </row>
    <row r="76" spans="1:6" x14ac:dyDescent="0.3">
      <c r="A76" s="54">
        <v>68</v>
      </c>
      <c r="B76" s="55" t="s">
        <v>913</v>
      </c>
      <c r="C76" s="65">
        <f>$C$74*(1+$C$75)</f>
        <v>355.11358318317986</v>
      </c>
      <c r="D76" s="55" t="s">
        <v>320</v>
      </c>
      <c r="E76" s="55" t="s">
        <v>914</v>
      </c>
      <c r="F76" s="55"/>
    </row>
    <row r="77" spans="1:6" x14ac:dyDescent="0.3">
      <c r="A77" s="27">
        <v>69</v>
      </c>
      <c r="B77" s="15" t="s">
        <v>915</v>
      </c>
      <c r="C77" s="63">
        <f>$C$73/(7.5*$C$29)</f>
        <v>0.98642661995327752</v>
      </c>
      <c r="D77" s="15"/>
      <c r="E77" s="15" t="s">
        <v>916</v>
      </c>
      <c r="F77" s="15" t="s">
        <v>917</v>
      </c>
    </row>
    <row r="78" spans="1:6" x14ac:dyDescent="0.3">
      <c r="A78" s="27">
        <v>70</v>
      </c>
      <c r="B78" s="15" t="s">
        <v>918</v>
      </c>
      <c r="C78" s="57" t="str">
        <f>IF($C$77&lt;=1/(1+$C$75),"Cumple","No cumple")</f>
        <v>No cumple</v>
      </c>
      <c r="D78" s="15"/>
      <c r="E78" s="15" t="s">
        <v>919</v>
      </c>
      <c r="F78" s="15"/>
    </row>
    <row r="79" spans="1:6" ht="26.4" x14ac:dyDescent="0.3">
      <c r="A79" s="54">
        <v>71</v>
      </c>
      <c r="B79" s="55" t="s">
        <v>920</v>
      </c>
      <c r="C79" s="66">
        <f>$C$73/($C$28*$C$29)</f>
        <v>0.73981996496495817</v>
      </c>
      <c r="D79" s="55"/>
      <c r="E79" s="55" t="s">
        <v>916</v>
      </c>
      <c r="F79" s="55" t="s">
        <v>802</v>
      </c>
    </row>
    <row r="80" spans="1:6" x14ac:dyDescent="0.3">
      <c r="A80" s="27">
        <v>72</v>
      </c>
      <c r="B80" s="15" t="s">
        <v>921</v>
      </c>
      <c r="C80" s="57" t="str">
        <f>IF($C$79&lt;=1/(1+$C$75),"Cumple","No cumple")</f>
        <v>Cumple</v>
      </c>
      <c r="D80" s="15"/>
      <c r="E80" s="15" t="s">
        <v>919</v>
      </c>
      <c r="F80" s="15"/>
    </row>
    <row r="81" spans="1:6" x14ac:dyDescent="0.3">
      <c r="A81" s="27">
        <v>73</v>
      </c>
      <c r="B81" s="15" t="s">
        <v>922</v>
      </c>
      <c r="C81" s="63">
        <f>$C$73/(12.5*$C$29)</f>
        <v>0.59185597197196649</v>
      </c>
      <c r="D81" s="15"/>
      <c r="E81" s="15" t="s">
        <v>916</v>
      </c>
      <c r="F81" s="15" t="s">
        <v>923</v>
      </c>
    </row>
    <row r="82" spans="1:6" x14ac:dyDescent="0.3">
      <c r="A82" s="27">
        <v>74</v>
      </c>
      <c r="B82" s="15" t="s">
        <v>924</v>
      </c>
      <c r="C82" s="57" t="str">
        <f>IF($C$81&lt;=1/(1+$C$75),"Cumple","No cumple")</f>
        <v>Cumple</v>
      </c>
      <c r="D82" s="15"/>
      <c r="E82" s="15" t="s">
        <v>925</v>
      </c>
      <c r="F82" s="15"/>
    </row>
    <row r="83" spans="1:6" x14ac:dyDescent="0.3">
      <c r="A83" s="27">
        <v>75</v>
      </c>
      <c r="B83" s="15" t="s">
        <v>926</v>
      </c>
      <c r="C83" s="50">
        <f>SQRT($C$73^2-$C$45^2)</f>
        <v>12.302901496862107</v>
      </c>
      <c r="D83" s="15" t="s">
        <v>191</v>
      </c>
      <c r="E83" s="15" t="s">
        <v>927</v>
      </c>
      <c r="F83" s="15"/>
    </row>
    <row r="84" spans="1:6" ht="26.4" x14ac:dyDescent="0.3">
      <c r="A84" s="27">
        <v>76</v>
      </c>
      <c r="B84" s="15" t="s">
        <v>928</v>
      </c>
      <c r="C84" s="50">
        <f>$C$83/$C$48</f>
        <v>4.1009671656207027</v>
      </c>
      <c r="D84" s="15" t="s">
        <v>191</v>
      </c>
      <c r="E84" s="15" t="s">
        <v>929</v>
      </c>
      <c r="F84" s="15" t="s">
        <v>930</v>
      </c>
    </row>
    <row r="85" spans="1:6" x14ac:dyDescent="0.3">
      <c r="A85" s="27">
        <v>77</v>
      </c>
      <c r="B85" s="15" t="s">
        <v>931</v>
      </c>
      <c r="C85" s="60">
        <f>$C$22/$C$70</f>
        <v>7.1673668126498384</v>
      </c>
      <c r="D85" s="15" t="s">
        <v>117</v>
      </c>
      <c r="E85" s="15" t="s">
        <v>932</v>
      </c>
      <c r="F85" s="15"/>
    </row>
    <row r="86" spans="1:6" x14ac:dyDescent="0.3">
      <c r="A86" s="27">
        <v>78</v>
      </c>
      <c r="B86" s="15" t="s">
        <v>933</v>
      </c>
      <c r="C86" s="64">
        <f>$C$32*$C$72*$C$85</f>
        <v>255.44495320284025</v>
      </c>
      <c r="D86" s="15" t="s">
        <v>320</v>
      </c>
      <c r="E86" s="15" t="s">
        <v>934</v>
      </c>
      <c r="F86" s="15"/>
    </row>
    <row r="87" spans="1:6" x14ac:dyDescent="0.3">
      <c r="A87" s="27">
        <v>79</v>
      </c>
      <c r="B87" s="15" t="s">
        <v>935</v>
      </c>
      <c r="C87" s="64">
        <f>$C$86/$C$35</f>
        <v>268.88942442404237</v>
      </c>
      <c r="D87" s="15" t="s">
        <v>320</v>
      </c>
      <c r="E87" s="15" t="s">
        <v>936</v>
      </c>
      <c r="F87" s="15"/>
    </row>
    <row r="88" spans="1:6" x14ac:dyDescent="0.3">
      <c r="A88" s="27">
        <v>80</v>
      </c>
      <c r="B88" s="15" t="s">
        <v>937</v>
      </c>
      <c r="C88" s="60">
        <f>$C$87/$C$5</f>
        <v>2.2407452035336863</v>
      </c>
      <c r="D88" s="15" t="s">
        <v>191</v>
      </c>
      <c r="E88" s="15" t="s">
        <v>938</v>
      </c>
      <c r="F88" s="15"/>
    </row>
    <row r="89" spans="1:6" x14ac:dyDescent="0.3">
      <c r="A89" s="27">
        <v>81</v>
      </c>
      <c r="B89" s="15" t="s">
        <v>939</v>
      </c>
      <c r="C89" s="64">
        <f>$C$41*$C$73</f>
        <v>263.6718355135111</v>
      </c>
      <c r="D89" s="15" t="s">
        <v>320</v>
      </c>
      <c r="E89" s="15" t="s">
        <v>940</v>
      </c>
      <c r="F89" s="15"/>
    </row>
    <row r="90" spans="1:6" x14ac:dyDescent="0.3">
      <c r="A90" s="27">
        <v>82</v>
      </c>
      <c r="B90" s="15" t="s">
        <v>941</v>
      </c>
      <c r="C90" s="60">
        <f>$C$89/$C$35/$C$8</f>
        <v>2.5699009309309075</v>
      </c>
      <c r="D90" s="15" t="s">
        <v>191</v>
      </c>
      <c r="E90" s="15" t="s">
        <v>942</v>
      </c>
      <c r="F90" s="15"/>
    </row>
    <row r="91" spans="1:6" x14ac:dyDescent="0.3">
      <c r="A91" s="81" t="s">
        <v>943</v>
      </c>
      <c r="B91" s="82"/>
      <c r="C91" s="82"/>
      <c r="D91" s="82"/>
      <c r="E91" s="82"/>
      <c r="F91" s="83"/>
    </row>
    <row r="92" spans="1:6" x14ac:dyDescent="0.3">
      <c r="A92" s="27">
        <v>83</v>
      </c>
      <c r="B92" s="15" t="s">
        <v>944</v>
      </c>
      <c r="C92" s="60">
        <f>$C$90/$C$17</f>
        <v>3.4265345745745432</v>
      </c>
      <c r="D92" s="15" t="s">
        <v>117</v>
      </c>
      <c r="E92" s="15" t="s">
        <v>945</v>
      </c>
      <c r="F92" s="15"/>
    </row>
    <row r="93" spans="1:6" ht="26.4" x14ac:dyDescent="0.3">
      <c r="A93" s="27">
        <v>84</v>
      </c>
      <c r="B93" s="15" t="s">
        <v>946</v>
      </c>
      <c r="C93" s="53">
        <v>4</v>
      </c>
      <c r="D93" s="15" t="s">
        <v>117</v>
      </c>
      <c r="E93" s="15" t="s">
        <v>947</v>
      </c>
      <c r="F93" s="15" t="s">
        <v>948</v>
      </c>
    </row>
    <row r="94" spans="1:6" x14ac:dyDescent="0.3">
      <c r="A94" s="27">
        <v>85</v>
      </c>
      <c r="B94" s="15" t="s">
        <v>949</v>
      </c>
      <c r="C94" s="57" t="str">
        <f>IF($C$93&gt;=$C$92,"OK","REVISAR")</f>
        <v>OK</v>
      </c>
      <c r="D94" s="15"/>
      <c r="E94" s="15" t="s">
        <v>950</v>
      </c>
      <c r="F94" s="15"/>
    </row>
    <row r="95" spans="1:6" x14ac:dyDescent="0.3">
      <c r="A95" s="27">
        <v>86</v>
      </c>
      <c r="B95" s="15" t="s">
        <v>951</v>
      </c>
      <c r="C95" s="48">
        <v>10</v>
      </c>
      <c r="D95" s="15" t="s">
        <v>952</v>
      </c>
      <c r="E95" s="15" t="s">
        <v>953</v>
      </c>
      <c r="F95" s="15" t="s">
        <v>415</v>
      </c>
    </row>
    <row r="96" spans="1:6" x14ac:dyDescent="0.3">
      <c r="A96" s="27">
        <v>87</v>
      </c>
      <c r="B96" s="15" t="s">
        <v>954</v>
      </c>
      <c r="C96" s="48">
        <v>15</v>
      </c>
      <c r="D96" s="15" t="s">
        <v>117</v>
      </c>
      <c r="E96" s="15" t="s">
        <v>804</v>
      </c>
      <c r="F96" s="15" t="s">
        <v>415</v>
      </c>
    </row>
    <row r="97" spans="1:6" x14ac:dyDescent="0.3">
      <c r="A97" s="27">
        <v>88</v>
      </c>
      <c r="B97" s="15" t="s">
        <v>955</v>
      </c>
      <c r="C97" s="48">
        <v>20</v>
      </c>
      <c r="D97" s="15" t="s">
        <v>117</v>
      </c>
      <c r="E97" s="15" t="s">
        <v>956</v>
      </c>
      <c r="F97" s="15" t="s">
        <v>132</v>
      </c>
    </row>
    <row r="98" spans="1:6" x14ac:dyDescent="0.3">
      <c r="A98" s="27">
        <v>89</v>
      </c>
      <c r="B98" s="15" t="s">
        <v>957</v>
      </c>
      <c r="C98" s="50">
        <f>$C$9*SQRT(2)/$C$95</f>
        <v>18.667619023324853</v>
      </c>
      <c r="D98" s="15" t="s">
        <v>117</v>
      </c>
      <c r="E98" s="15" t="s">
        <v>958</v>
      </c>
      <c r="F98" s="15"/>
    </row>
    <row r="99" spans="1:6" x14ac:dyDescent="0.3">
      <c r="A99" s="27">
        <v>90</v>
      </c>
      <c r="B99" s="15" t="s">
        <v>959</v>
      </c>
      <c r="C99" s="57" t="str">
        <f>IF(AND($C$98&lt;=$C$97,$C$96&gt;=$C$90),"OK","REVISAR")</f>
        <v>OK</v>
      </c>
      <c r="D99" s="15"/>
      <c r="E99" s="15" t="s">
        <v>960</v>
      </c>
      <c r="F99" s="15"/>
    </row>
    <row r="100" spans="1:6" x14ac:dyDescent="0.3">
      <c r="A100" s="27">
        <v>91</v>
      </c>
      <c r="B100" s="15" t="s">
        <v>961</v>
      </c>
      <c r="C100" s="48">
        <v>150</v>
      </c>
      <c r="D100" s="15" t="s">
        <v>93</v>
      </c>
      <c r="E100" s="15" t="s">
        <v>962</v>
      </c>
      <c r="F100" s="15" t="s">
        <v>963</v>
      </c>
    </row>
    <row r="101" spans="1:6" x14ac:dyDescent="0.3">
      <c r="A101" s="27">
        <v>92</v>
      </c>
      <c r="B101" s="15" t="s">
        <v>964</v>
      </c>
      <c r="C101" s="57" t="str">
        <f>IF($C$100&gt;=1.1*$C$9,"OK","REVISAR")</f>
        <v>OK</v>
      </c>
      <c r="D101" s="15"/>
      <c r="E101" s="15" t="s">
        <v>965</v>
      </c>
      <c r="F101" s="15"/>
    </row>
    <row r="102" spans="1:6" x14ac:dyDescent="0.3">
      <c r="A102" s="81" t="s">
        <v>966</v>
      </c>
      <c r="B102" s="82"/>
      <c r="C102" s="82"/>
      <c r="D102" s="82"/>
      <c r="E102" s="82"/>
      <c r="F102" s="83"/>
    </row>
    <row r="103" spans="1:6" x14ac:dyDescent="0.3">
      <c r="A103" s="27">
        <v>93</v>
      </c>
      <c r="B103" s="15" t="s">
        <v>967</v>
      </c>
      <c r="C103" s="48">
        <v>35</v>
      </c>
      <c r="D103" s="15" t="s">
        <v>117</v>
      </c>
      <c r="E103" s="15" t="s">
        <v>968</v>
      </c>
      <c r="F103" s="15" t="s">
        <v>830</v>
      </c>
    </row>
    <row r="104" spans="1:6" x14ac:dyDescent="0.3">
      <c r="A104" s="27">
        <v>94</v>
      </c>
      <c r="B104" s="15" t="s">
        <v>969</v>
      </c>
      <c r="C104" s="48">
        <v>400</v>
      </c>
      <c r="D104" s="15" t="s">
        <v>117</v>
      </c>
      <c r="E104" s="15" t="s">
        <v>970</v>
      </c>
      <c r="F104" s="15" t="s">
        <v>830</v>
      </c>
    </row>
    <row r="105" spans="1:6" x14ac:dyDescent="0.3">
      <c r="A105" s="27">
        <v>95</v>
      </c>
      <c r="B105" s="15" t="s">
        <v>971</v>
      </c>
      <c r="C105" s="59">
        <v>1000</v>
      </c>
      <c r="D105" s="15" t="s">
        <v>10</v>
      </c>
      <c r="E105" s="15" t="s">
        <v>968</v>
      </c>
      <c r="F105" s="15" t="s">
        <v>830</v>
      </c>
    </row>
    <row r="106" spans="1:6" x14ac:dyDescent="0.3">
      <c r="A106" s="27">
        <v>96</v>
      </c>
      <c r="B106" s="15" t="s">
        <v>972</v>
      </c>
      <c r="C106" s="53">
        <v>0.6</v>
      </c>
      <c r="D106" s="15" t="s">
        <v>285</v>
      </c>
      <c r="E106" s="15" t="s">
        <v>973</v>
      </c>
      <c r="F106" s="15" t="s">
        <v>974</v>
      </c>
    </row>
    <row r="107" spans="1:6" x14ac:dyDescent="0.3">
      <c r="A107" s="27">
        <v>97</v>
      </c>
      <c r="B107" s="15" t="s">
        <v>975</v>
      </c>
      <c r="C107" s="53">
        <v>0.5</v>
      </c>
      <c r="D107" s="15" t="s">
        <v>285</v>
      </c>
      <c r="E107" s="15" t="s">
        <v>976</v>
      </c>
      <c r="F107" s="15" t="s">
        <v>159</v>
      </c>
    </row>
    <row r="108" spans="1:6" x14ac:dyDescent="0.3">
      <c r="A108" s="27">
        <v>98</v>
      </c>
      <c r="B108" s="15" t="s">
        <v>977</v>
      </c>
      <c r="C108" s="50">
        <f>2*$C$45</f>
        <v>16.440443665887958</v>
      </c>
      <c r="D108" s="15" t="s">
        <v>117</v>
      </c>
      <c r="E108" s="15" t="s">
        <v>978</v>
      </c>
      <c r="F108" s="15" t="s">
        <v>979</v>
      </c>
    </row>
    <row r="109" spans="1:6" x14ac:dyDescent="0.3">
      <c r="A109" s="27">
        <v>99</v>
      </c>
      <c r="B109" s="15" t="s">
        <v>980</v>
      </c>
      <c r="C109" s="57" t="str">
        <f>IF($C$103&gt;=$C$108,"OK","REVISAR")</f>
        <v>OK</v>
      </c>
      <c r="D109" s="15"/>
      <c r="E109" s="15" t="s">
        <v>981</v>
      </c>
      <c r="F109" s="15"/>
    </row>
    <row r="110" spans="1:6" x14ac:dyDescent="0.3">
      <c r="A110" s="27">
        <v>100</v>
      </c>
      <c r="B110" s="15" t="s">
        <v>982</v>
      </c>
      <c r="C110" s="50">
        <f>2*$C$62</f>
        <v>64.403285630470748</v>
      </c>
      <c r="D110" s="15" t="s">
        <v>10</v>
      </c>
      <c r="E110" s="15" t="s">
        <v>983</v>
      </c>
      <c r="F110" s="15" t="s">
        <v>979</v>
      </c>
    </row>
    <row r="111" spans="1:6" x14ac:dyDescent="0.3">
      <c r="A111" s="27">
        <v>101</v>
      </c>
      <c r="B111" s="15" t="s">
        <v>984</v>
      </c>
      <c r="C111" s="57" t="str">
        <f>IF($C$105&gt;=$C$110,"OK","REVISAR")</f>
        <v>OK</v>
      </c>
      <c r="D111" s="15"/>
      <c r="E111" s="15" t="s">
        <v>985</v>
      </c>
      <c r="F111" s="15"/>
    </row>
    <row r="112" spans="1:6" x14ac:dyDescent="0.3">
      <c r="A112" s="27">
        <v>102</v>
      </c>
      <c r="B112" s="15" t="s">
        <v>986</v>
      </c>
      <c r="C112" s="50">
        <f>2*$C$38*$C$45</f>
        <v>18.084488032476756</v>
      </c>
      <c r="D112" s="15" t="s">
        <v>4</v>
      </c>
      <c r="E112" s="15" t="s">
        <v>987</v>
      </c>
      <c r="F112" s="15"/>
    </row>
    <row r="113" spans="1:6" x14ac:dyDescent="0.3">
      <c r="A113" s="27">
        <v>103</v>
      </c>
      <c r="B113" s="15" t="s">
        <v>988</v>
      </c>
      <c r="C113" s="60">
        <f>($C$11-$C$10)/$C$112-$C$106-$C$107</f>
        <v>3.6001607038780437</v>
      </c>
      <c r="D113" s="15" t="s">
        <v>285</v>
      </c>
      <c r="E113" s="15" t="s">
        <v>989</v>
      </c>
      <c r="F113" s="15"/>
    </row>
    <row r="114" spans="1:6" x14ac:dyDescent="0.3">
      <c r="A114" s="27">
        <v>104</v>
      </c>
      <c r="B114" s="15" t="s">
        <v>990</v>
      </c>
      <c r="C114" s="53">
        <v>3</v>
      </c>
      <c r="D114" s="15" t="s">
        <v>285</v>
      </c>
      <c r="E114" s="15" t="s">
        <v>991</v>
      </c>
      <c r="F114" s="15" t="s">
        <v>132</v>
      </c>
    </row>
    <row r="115" spans="1:6" x14ac:dyDescent="0.3">
      <c r="A115" s="27">
        <v>105</v>
      </c>
      <c r="B115" s="15" t="s">
        <v>992</v>
      </c>
      <c r="C115" s="57" t="str">
        <f>IF($C$114&lt;=$C$113,"OK","REVISAR")</f>
        <v>OK</v>
      </c>
      <c r="D115" s="15"/>
      <c r="E115" s="15" t="s">
        <v>993</v>
      </c>
      <c r="F115" s="15"/>
    </row>
    <row r="116" spans="1:6" x14ac:dyDescent="0.3">
      <c r="A116" s="81" t="s">
        <v>994</v>
      </c>
      <c r="B116" s="82"/>
      <c r="C116" s="82"/>
      <c r="D116" s="82"/>
      <c r="E116" s="82"/>
      <c r="F116" s="83"/>
    </row>
    <row r="117" spans="1:6" x14ac:dyDescent="0.3">
      <c r="A117" s="27">
        <v>106</v>
      </c>
      <c r="B117" s="15" t="s">
        <v>995</v>
      </c>
      <c r="C117" s="50">
        <f>$C$45/$C$17</f>
        <v>10.960295777258638</v>
      </c>
      <c r="D117" s="15" t="s">
        <v>117</v>
      </c>
      <c r="E117" s="15" t="s">
        <v>996</v>
      </c>
      <c r="F117" s="15"/>
    </row>
    <row r="118" spans="1:6" x14ac:dyDescent="0.3">
      <c r="A118" s="27">
        <v>107</v>
      </c>
      <c r="B118" s="15" t="s">
        <v>997</v>
      </c>
      <c r="C118" s="48">
        <v>15</v>
      </c>
      <c r="D118" s="15" t="s">
        <v>117</v>
      </c>
      <c r="E118" s="15" t="s">
        <v>998</v>
      </c>
      <c r="F118" s="15" t="s">
        <v>999</v>
      </c>
    </row>
    <row r="119" spans="1:6" x14ac:dyDescent="0.3">
      <c r="A119" s="27">
        <v>108</v>
      </c>
      <c r="B119" s="15" t="s">
        <v>1000</v>
      </c>
      <c r="C119" s="57" t="str">
        <f>IF($C$118&gt;=$C$117,"OK","REVISAR")</f>
        <v>OK</v>
      </c>
      <c r="D119" s="15"/>
      <c r="E119" s="15" t="s">
        <v>950</v>
      </c>
      <c r="F119" s="15"/>
    </row>
    <row r="120" spans="1:6" x14ac:dyDescent="0.3">
      <c r="A120" s="27">
        <v>109</v>
      </c>
      <c r="B120" s="15" t="s">
        <v>1001</v>
      </c>
      <c r="C120" s="53">
        <v>33.299999999999997</v>
      </c>
      <c r="D120" s="15" t="s">
        <v>10</v>
      </c>
      <c r="E120" s="15" t="s">
        <v>1002</v>
      </c>
      <c r="F120" s="15" t="s">
        <v>1003</v>
      </c>
    </row>
    <row r="121" spans="1:6" x14ac:dyDescent="0.3">
      <c r="A121" s="27">
        <v>110</v>
      </c>
      <c r="B121" s="15" t="s">
        <v>1004</v>
      </c>
      <c r="C121" s="53">
        <v>48.4</v>
      </c>
      <c r="D121" s="15" t="s">
        <v>10</v>
      </c>
      <c r="E121" s="15" t="s">
        <v>1005</v>
      </c>
      <c r="F121" s="15" t="s">
        <v>1003</v>
      </c>
    </row>
    <row r="122" spans="1:6" x14ac:dyDescent="0.3">
      <c r="A122" s="27">
        <v>111</v>
      </c>
      <c r="B122" s="15" t="s">
        <v>1006</v>
      </c>
      <c r="C122" s="57" t="str">
        <f>IF($C$120&gt;$C$63,"OK","REVISAR")</f>
        <v>OK</v>
      </c>
      <c r="D122" s="15"/>
      <c r="E122" s="15" t="s">
        <v>1007</v>
      </c>
      <c r="F122" s="15"/>
    </row>
    <row r="123" spans="1:6" x14ac:dyDescent="0.3">
      <c r="A123" s="27">
        <v>112</v>
      </c>
      <c r="B123" s="15" t="s">
        <v>1008</v>
      </c>
      <c r="C123" s="59">
        <v>4700</v>
      </c>
      <c r="D123" s="15" t="s">
        <v>952</v>
      </c>
      <c r="E123" s="15" t="s">
        <v>1009</v>
      </c>
      <c r="F123" s="15" t="s">
        <v>132</v>
      </c>
    </row>
    <row r="124" spans="1:6" x14ac:dyDescent="0.3">
      <c r="A124" s="27">
        <v>113</v>
      </c>
      <c r="B124" s="15" t="s">
        <v>1010</v>
      </c>
      <c r="C124" s="64">
        <f>$C$123*$C$49/1000000</f>
        <v>141</v>
      </c>
      <c r="D124" s="15" t="s">
        <v>1011</v>
      </c>
      <c r="E124" s="15" t="s">
        <v>1012</v>
      </c>
      <c r="F124" s="15"/>
    </row>
    <row r="125" spans="1:6" x14ac:dyDescent="0.3">
      <c r="A125" s="27">
        <v>114</v>
      </c>
      <c r="B125" s="15" t="s">
        <v>1013</v>
      </c>
      <c r="C125" s="60">
        <f>$C$63^2/$C$123</f>
        <v>0.20185982981220021</v>
      </c>
      <c r="D125" s="15" t="s">
        <v>4</v>
      </c>
      <c r="E125" s="15" t="s">
        <v>1014</v>
      </c>
      <c r="F125" s="15"/>
    </row>
    <row r="126" spans="1:6" x14ac:dyDescent="0.3">
      <c r="A126" s="81" t="s">
        <v>1015</v>
      </c>
      <c r="B126" s="82"/>
      <c r="C126" s="82"/>
      <c r="D126" s="82"/>
      <c r="E126" s="82"/>
      <c r="F126" s="83"/>
    </row>
    <row r="127" spans="1:6" x14ac:dyDescent="0.3">
      <c r="A127" s="27">
        <v>115</v>
      </c>
      <c r="B127" s="15" t="s">
        <v>1016</v>
      </c>
      <c r="C127" s="52">
        <v>1.21</v>
      </c>
      <c r="D127" s="15" t="s">
        <v>10</v>
      </c>
      <c r="E127" s="15" t="s">
        <v>1017</v>
      </c>
      <c r="F127" s="15" t="s">
        <v>1018</v>
      </c>
    </row>
    <row r="128" spans="1:6" x14ac:dyDescent="0.3">
      <c r="A128" s="27">
        <v>116</v>
      </c>
      <c r="B128" s="15" t="s">
        <v>1019</v>
      </c>
      <c r="C128" s="49">
        <v>0.02</v>
      </c>
      <c r="D128" s="15" t="s">
        <v>141</v>
      </c>
      <c r="E128" s="15" t="s">
        <v>1020</v>
      </c>
      <c r="F128" s="15" t="s">
        <v>1018</v>
      </c>
    </row>
    <row r="129" spans="1:6" x14ac:dyDescent="0.3">
      <c r="A129" s="27">
        <v>117</v>
      </c>
      <c r="B129" s="15" t="s">
        <v>1021</v>
      </c>
      <c r="C129" s="67">
        <v>887</v>
      </c>
      <c r="D129" s="15" t="s">
        <v>952</v>
      </c>
      <c r="E129" s="15" t="s">
        <v>1022</v>
      </c>
      <c r="F129" s="15" t="s">
        <v>1023</v>
      </c>
    </row>
    <row r="130" spans="1:6" x14ac:dyDescent="0.3">
      <c r="A130" s="27">
        <v>118</v>
      </c>
      <c r="B130" s="15" t="s">
        <v>1024</v>
      </c>
      <c r="C130" s="53">
        <v>28.7</v>
      </c>
      <c r="D130" s="15" t="s">
        <v>952</v>
      </c>
      <c r="E130" s="15" t="s">
        <v>1025</v>
      </c>
      <c r="F130" s="15" t="s">
        <v>132</v>
      </c>
    </row>
    <row r="131" spans="1:6" x14ac:dyDescent="0.3">
      <c r="A131" s="27">
        <v>119</v>
      </c>
      <c r="B131" s="15" t="s">
        <v>1026</v>
      </c>
      <c r="C131" s="59">
        <v>10000</v>
      </c>
      <c r="D131" s="15" t="s">
        <v>952</v>
      </c>
      <c r="E131" s="15" t="s">
        <v>1027</v>
      </c>
      <c r="F131" s="15" t="s">
        <v>132</v>
      </c>
    </row>
    <row r="132" spans="1:6" x14ac:dyDescent="0.3">
      <c r="A132" s="27">
        <v>120</v>
      </c>
      <c r="B132" s="15" t="s">
        <v>1028</v>
      </c>
      <c r="C132" s="68">
        <f>$C$127*(1+$C$130/$C$129)</f>
        <v>1.2491510710259301</v>
      </c>
      <c r="D132" s="15" t="s">
        <v>10</v>
      </c>
      <c r="E132" s="15" t="s">
        <v>1029</v>
      </c>
      <c r="F132" s="15"/>
    </row>
    <row r="133" spans="1:6" x14ac:dyDescent="0.3">
      <c r="A133" s="27">
        <v>121</v>
      </c>
      <c r="B133" s="15" t="s">
        <v>1030</v>
      </c>
      <c r="C133" s="60">
        <f>$C$127*(1+($C$130+$C$131)/$C$129)</f>
        <v>14.890639233370914</v>
      </c>
      <c r="D133" s="15" t="s">
        <v>10</v>
      </c>
      <c r="E133" s="15" t="s">
        <v>1031</v>
      </c>
      <c r="F133" s="15"/>
    </row>
    <row r="134" spans="1:6" x14ac:dyDescent="0.3">
      <c r="A134" s="27">
        <v>122</v>
      </c>
      <c r="B134" s="15" t="s">
        <v>1032</v>
      </c>
      <c r="C134" s="60">
        <f>$C$133*(1+$C$128)</f>
        <v>15.188452018038332</v>
      </c>
      <c r="D134" s="15" t="s">
        <v>10</v>
      </c>
      <c r="E134" s="15" t="s">
        <v>1033</v>
      </c>
      <c r="F134" s="15" t="s">
        <v>1034</v>
      </c>
    </row>
    <row r="135" spans="1:6" x14ac:dyDescent="0.3">
      <c r="A135" s="27">
        <v>123</v>
      </c>
      <c r="B135" s="15" t="s">
        <v>1035</v>
      </c>
      <c r="C135" s="61">
        <f>$C$129*($C$53/$C$127-1)</f>
        <v>10108.867768595042</v>
      </c>
      <c r="D135" s="15" t="s">
        <v>952</v>
      </c>
      <c r="E135" s="15" t="s">
        <v>1036</v>
      </c>
      <c r="F135" s="15"/>
    </row>
    <row r="136" spans="1:6" ht="26.4" x14ac:dyDescent="0.3">
      <c r="A136" s="27">
        <v>124</v>
      </c>
      <c r="B136" s="15" t="s">
        <v>1037</v>
      </c>
      <c r="C136" s="26">
        <f>($C$132+$C$54)/($C$63-Convertidores!$G$26+$C$54)</f>
        <v>5.6530646464726962E-2</v>
      </c>
      <c r="D136" s="15"/>
      <c r="E136" s="15" t="s">
        <v>1038</v>
      </c>
      <c r="F136" s="15" t="s">
        <v>1039</v>
      </c>
    </row>
    <row r="137" spans="1:6" x14ac:dyDescent="0.3">
      <c r="A137" s="81" t="s">
        <v>1040</v>
      </c>
      <c r="B137" s="82"/>
      <c r="C137" s="82"/>
      <c r="D137" s="82"/>
      <c r="E137" s="82"/>
      <c r="F137" s="83"/>
    </row>
    <row r="138" spans="1:6" x14ac:dyDescent="0.3">
      <c r="A138" s="27">
        <v>125</v>
      </c>
      <c r="B138" s="15" t="s">
        <v>1041</v>
      </c>
      <c r="C138" s="50">
        <f>($C$22+$C$112)/$C$35</f>
        <v>205.08402739769977</v>
      </c>
      <c r="D138" s="15" t="s">
        <v>4</v>
      </c>
      <c r="E138" s="15" t="s">
        <v>1042</v>
      </c>
      <c r="F138" s="15"/>
    </row>
    <row r="139" spans="1:6" x14ac:dyDescent="0.3">
      <c r="A139" s="54">
        <v>126</v>
      </c>
      <c r="B139" s="55" t="s">
        <v>15</v>
      </c>
      <c r="C139" s="69">
        <f>$C$20/$C$138</f>
        <v>0.7406720158924659</v>
      </c>
      <c r="D139" s="55"/>
      <c r="E139" s="55" t="s">
        <v>1043</v>
      </c>
      <c r="F139" s="55"/>
    </row>
    <row r="140" spans="1:6" ht="26.4" x14ac:dyDescent="0.3">
      <c r="A140" s="27">
        <v>127</v>
      </c>
      <c r="B140" s="15" t="s">
        <v>1044</v>
      </c>
      <c r="C140" s="49">
        <v>0.7</v>
      </c>
      <c r="D140" s="15"/>
      <c r="E140" s="15" t="s">
        <v>1045</v>
      </c>
      <c r="F140" s="15" t="s">
        <v>835</v>
      </c>
    </row>
    <row r="141" spans="1:6" x14ac:dyDescent="0.3">
      <c r="A141" s="27">
        <v>128</v>
      </c>
      <c r="B141" s="15" t="s">
        <v>1046</v>
      </c>
      <c r="C141" s="57" t="str">
        <f>IF($C$139&gt;=$C$140,"OK","REVISAR")</f>
        <v>OK</v>
      </c>
      <c r="D141" s="15"/>
      <c r="E141" s="15" t="s">
        <v>1047</v>
      </c>
      <c r="F141" s="15"/>
    </row>
    <row r="142" spans="1:6" x14ac:dyDescent="0.3">
      <c r="A142" s="27">
        <v>129</v>
      </c>
      <c r="B142" s="15" t="s">
        <v>1048</v>
      </c>
      <c r="C142" s="50">
        <f>$C$138-$C$20</f>
        <v>53.184027397699765</v>
      </c>
      <c r="D142" s="15" t="s">
        <v>4</v>
      </c>
      <c r="E142" s="15" t="s">
        <v>1049</v>
      </c>
      <c r="F142" s="15" t="s">
        <v>1050</v>
      </c>
    </row>
    <row r="143" spans="1:6" x14ac:dyDescent="0.3">
      <c r="A143" s="27">
        <v>130</v>
      </c>
      <c r="B143" s="15" t="s">
        <v>1051</v>
      </c>
      <c r="C143" s="60">
        <f>$C$138/$C$87</f>
        <v>0.76270767374725534</v>
      </c>
      <c r="D143" s="15"/>
      <c r="E143" s="15" t="s">
        <v>1052</v>
      </c>
      <c r="F143" s="15" t="s">
        <v>902</v>
      </c>
    </row>
    <row r="144" spans="1:6" x14ac:dyDescent="0.3">
      <c r="A144" s="81" t="s">
        <v>1053</v>
      </c>
      <c r="B144" s="82"/>
      <c r="C144" s="82"/>
      <c r="D144" s="82"/>
      <c r="E144" s="82"/>
      <c r="F144" s="83"/>
    </row>
    <row r="145" spans="1:6" x14ac:dyDescent="0.3">
      <c r="A145" s="27">
        <v>131</v>
      </c>
      <c r="B145" s="15" t="s">
        <v>1054</v>
      </c>
      <c r="C145" s="70">
        <v>2.7559999999999998</v>
      </c>
      <c r="D145" s="15" t="s">
        <v>1055</v>
      </c>
      <c r="E145" s="15" t="s">
        <v>1056</v>
      </c>
      <c r="F145" s="15" t="s">
        <v>295</v>
      </c>
    </row>
    <row r="146" spans="1:6" x14ac:dyDescent="0.3">
      <c r="A146" s="27">
        <v>132</v>
      </c>
      <c r="B146" s="15" t="s">
        <v>1057</v>
      </c>
      <c r="C146" s="48">
        <v>20</v>
      </c>
      <c r="D146" s="15" t="s">
        <v>157</v>
      </c>
      <c r="E146" s="15" t="s">
        <v>1058</v>
      </c>
      <c r="F146" s="15" t="s">
        <v>295</v>
      </c>
    </row>
    <row r="147" spans="1:6" ht="26.4" x14ac:dyDescent="0.3">
      <c r="A147" s="27">
        <v>133</v>
      </c>
      <c r="B147" s="15" t="s">
        <v>1059</v>
      </c>
      <c r="C147" s="50">
        <f>(($C$73/(0.048*$C$146^0.44))^(1/0.725))/$C$145*0.0254</f>
        <v>4.0546168775227889</v>
      </c>
      <c r="D147" s="15" t="s">
        <v>1060</v>
      </c>
      <c r="E147" s="15" t="s">
        <v>1061</v>
      </c>
      <c r="F147" s="15" t="s">
        <v>1062</v>
      </c>
    </row>
    <row r="148" spans="1:6" x14ac:dyDescent="0.3">
      <c r="A148" s="27">
        <v>134</v>
      </c>
      <c r="B148" s="15" t="s">
        <v>1063</v>
      </c>
      <c r="C148" s="50">
        <f>(($C$45/(0.048*$C$146^0.44))^(1/0.725))/$C$145*0.0254</f>
        <v>1.8023943477147741</v>
      </c>
      <c r="D148" s="15" t="s">
        <v>1060</v>
      </c>
      <c r="E148" s="15" t="s">
        <v>1061</v>
      </c>
      <c r="F148" s="15" t="s">
        <v>1062</v>
      </c>
    </row>
    <row r="149" spans="1:6" x14ac:dyDescent="0.3">
      <c r="A149" s="27">
        <v>135</v>
      </c>
      <c r="B149" s="15" t="s">
        <v>1064</v>
      </c>
      <c r="C149" s="22">
        <f>((Convertidores!$C$9/(0.048*$C$146^0.44))^(1/0.725))/$C$145*0.0254</f>
        <v>0.90790006387074507</v>
      </c>
      <c r="D149" s="15" t="s">
        <v>1060</v>
      </c>
      <c r="E149" s="15" t="s">
        <v>1061</v>
      </c>
      <c r="F149" s="15" t="s">
        <v>1062</v>
      </c>
    </row>
    <row r="150" spans="1:6" x14ac:dyDescent="0.3">
      <c r="A150" s="27">
        <v>136</v>
      </c>
      <c r="B150" s="15" t="s">
        <v>1065</v>
      </c>
      <c r="C150" s="22">
        <f>((Convertidores!$D$9/(0.048*$C$146^0.44))^(1/0.725))/$C$145*0.0254</f>
        <v>0.90790006387074507</v>
      </c>
      <c r="D150" s="15" t="s">
        <v>1060</v>
      </c>
      <c r="E150" s="15" t="s">
        <v>1061</v>
      </c>
      <c r="F150" s="15" t="s">
        <v>1062</v>
      </c>
    </row>
    <row r="151" spans="1:6" x14ac:dyDescent="0.3">
      <c r="A151" s="27">
        <v>137</v>
      </c>
      <c r="B151" s="15" t="s">
        <v>1066</v>
      </c>
      <c r="C151" s="22">
        <f>((Convertidores!$E$9/(0.048*$C$146^0.44))^(1/0.725))/$C$145*0.0254</f>
        <v>0.44878648650143882</v>
      </c>
      <c r="D151" s="15" t="s">
        <v>1060</v>
      </c>
      <c r="E151" s="15" t="s">
        <v>1061</v>
      </c>
      <c r="F151" s="15" t="s">
        <v>1062</v>
      </c>
    </row>
    <row r="152" spans="1:6" x14ac:dyDescent="0.3">
      <c r="A152" s="27">
        <v>138</v>
      </c>
      <c r="B152" s="15" t="s">
        <v>1067</v>
      </c>
      <c r="C152" s="22">
        <f>((Convertidores!$G$9/(0.048*$C$146^0.44))^(1/0.725))/$C$145*0.0254</f>
        <v>0.44878648650143882</v>
      </c>
      <c r="D152" s="15" t="s">
        <v>1060</v>
      </c>
      <c r="E152" s="15" t="s">
        <v>1061</v>
      </c>
      <c r="F152" s="15" t="s">
        <v>1062</v>
      </c>
    </row>
    <row r="153" spans="1:6" x14ac:dyDescent="0.3">
      <c r="A153" s="27">
        <v>139</v>
      </c>
      <c r="B153" s="15" t="s">
        <v>1068</v>
      </c>
      <c r="C153" s="22">
        <f>((Convertidores!$F$9/(0.048*$C$146^0.44))^(1/0.725))/$C$145*0.0254</f>
        <v>9.861466164207712E-2</v>
      </c>
      <c r="D153" s="15" t="s">
        <v>1060</v>
      </c>
      <c r="E153" s="15" t="s">
        <v>1061</v>
      </c>
      <c r="F153" s="15" t="s">
        <v>1062</v>
      </c>
    </row>
  </sheetData>
  <mergeCells count="12">
    <mergeCell ref="A144:F144"/>
    <mergeCell ref="A18:F18"/>
    <mergeCell ref="A4:F4"/>
    <mergeCell ref="A91:F91"/>
    <mergeCell ref="A24:F24"/>
    <mergeCell ref="A2:F2"/>
    <mergeCell ref="A71:F71"/>
    <mergeCell ref="A137:F137"/>
    <mergeCell ref="A102:F102"/>
    <mergeCell ref="A116:F116"/>
    <mergeCell ref="A37:F37"/>
    <mergeCell ref="A126:F126"/>
  </mergeCells>
  <conditionalFormatting sqref="C4:C153">
    <cfRule type="expression" dxfId="3" priority="1">
      <formula>OR(ISNUMBER(SEARCH("REVISAR",C4)),ISNUMBER(SEARCH("NO CUMPLE",C4)),ISNUMBER(SEARCH("No cumple",C4)))</formula>
    </cfRule>
    <cfRule type="expression" dxfId="2" priority="2">
      <formula>OR(LEFT(C4,2)="OK",C4="Cumple")</formula>
    </cfRule>
  </conditionalFormatting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100"/>
  <sheetViews>
    <sheetView showGridLines="0" tabSelected="1" zoomScale="67" workbookViewId="0">
      <pane xSplit="2" ySplit="4" topLeftCell="C8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" customWidth="1"/>
    <col min="2" max="2" width="46" customWidth="1"/>
    <col min="3" max="5" width="22" customWidth="1"/>
    <col min="6" max="7" width="24" customWidth="1"/>
    <col min="8" max="8" width="9" customWidth="1"/>
    <col min="9" max="9" width="62" customWidth="1"/>
  </cols>
  <sheetData>
    <row r="1" spans="1:9" ht="17.399999999999999" x14ac:dyDescent="0.3">
      <c r="A1" s="1" t="s">
        <v>1069</v>
      </c>
    </row>
    <row r="2" spans="1:9" ht="42" customHeight="1" x14ac:dyDescent="0.3">
      <c r="A2" s="80" t="s">
        <v>1070</v>
      </c>
      <c r="B2" s="79"/>
      <c r="C2" s="79"/>
      <c r="D2" s="79"/>
      <c r="E2" s="79"/>
      <c r="F2" s="79"/>
      <c r="G2" s="79"/>
      <c r="H2" s="79"/>
      <c r="I2" s="79"/>
    </row>
    <row r="4" spans="1:9" x14ac:dyDescent="0.3">
      <c r="A4" s="14" t="s">
        <v>41</v>
      </c>
      <c r="B4" s="14" t="s">
        <v>1071</v>
      </c>
      <c r="C4" s="14" t="s">
        <v>500</v>
      </c>
      <c r="D4" s="14" t="s">
        <v>511</v>
      </c>
      <c r="E4" s="14" t="s">
        <v>518</v>
      </c>
      <c r="F4" s="14" t="s">
        <v>531</v>
      </c>
      <c r="G4" s="14" t="s">
        <v>1072</v>
      </c>
      <c r="H4" s="14" t="s">
        <v>62</v>
      </c>
      <c r="I4" s="14" t="s">
        <v>1073</v>
      </c>
    </row>
    <row r="5" spans="1:9" x14ac:dyDescent="0.3">
      <c r="A5" s="81" t="s">
        <v>1074</v>
      </c>
      <c r="B5" s="82"/>
      <c r="C5" s="82"/>
      <c r="D5" s="82"/>
      <c r="E5" s="82"/>
      <c r="F5" s="82"/>
      <c r="G5" s="82"/>
      <c r="H5" s="82"/>
      <c r="I5" s="83"/>
    </row>
    <row r="6" spans="1:9" x14ac:dyDescent="0.3">
      <c r="A6" s="71">
        <v>1</v>
      </c>
      <c r="B6" s="15" t="s">
        <v>1075</v>
      </c>
      <c r="C6" s="72" t="s">
        <v>1076</v>
      </c>
      <c r="D6" s="72" t="s">
        <v>1077</v>
      </c>
      <c r="E6" s="72" t="s">
        <v>1078</v>
      </c>
      <c r="F6" s="72" t="s">
        <v>1079</v>
      </c>
      <c r="G6" s="72" t="s">
        <v>1080</v>
      </c>
      <c r="H6" s="15"/>
      <c r="I6" s="15" t="s">
        <v>1081</v>
      </c>
    </row>
    <row r="7" spans="1:9" ht="26.4" x14ac:dyDescent="0.3">
      <c r="A7" s="71">
        <v>2</v>
      </c>
      <c r="B7" s="15" t="s">
        <v>1082</v>
      </c>
      <c r="C7" s="72" t="s">
        <v>1083</v>
      </c>
      <c r="D7" s="72" t="s">
        <v>1083</v>
      </c>
      <c r="E7" s="72" t="s">
        <v>1083</v>
      </c>
      <c r="F7" s="72" t="s">
        <v>1084</v>
      </c>
      <c r="G7" s="72" t="s">
        <v>1085</v>
      </c>
      <c r="H7" s="15"/>
      <c r="I7" s="15" t="s">
        <v>1086</v>
      </c>
    </row>
    <row r="8" spans="1:9" x14ac:dyDescent="0.3">
      <c r="A8" s="71">
        <v>3</v>
      </c>
      <c r="B8" s="15" t="s">
        <v>1087</v>
      </c>
      <c r="C8" s="37">
        <v>12</v>
      </c>
      <c r="D8" s="37">
        <v>5</v>
      </c>
      <c r="E8" s="37">
        <v>3.3</v>
      </c>
      <c r="F8" s="37">
        <v>-12</v>
      </c>
      <c r="G8" s="37">
        <v>15</v>
      </c>
      <c r="H8" s="15" t="s">
        <v>10</v>
      </c>
      <c r="I8" s="15" t="s">
        <v>1088</v>
      </c>
    </row>
    <row r="9" spans="1:9" x14ac:dyDescent="0.3">
      <c r="A9" s="71">
        <v>4</v>
      </c>
      <c r="B9" s="15" t="s">
        <v>1089</v>
      </c>
      <c r="C9" s="37">
        <v>5</v>
      </c>
      <c r="D9" s="37">
        <v>5</v>
      </c>
      <c r="E9" s="37">
        <v>3</v>
      </c>
      <c r="F9" s="37">
        <v>1</v>
      </c>
      <c r="G9" s="37">
        <v>3</v>
      </c>
      <c r="H9" s="15" t="s">
        <v>117</v>
      </c>
      <c r="I9" s="15" t="s">
        <v>1088</v>
      </c>
    </row>
    <row r="10" spans="1:9" x14ac:dyDescent="0.3">
      <c r="A10" s="71">
        <v>5</v>
      </c>
      <c r="B10" s="15" t="s">
        <v>1090</v>
      </c>
      <c r="C10" s="50">
        <f>ABS(C8)*C9</f>
        <v>60</v>
      </c>
      <c r="D10" s="50">
        <f>ABS(D8)*D9</f>
        <v>25</v>
      </c>
      <c r="E10" s="50">
        <f>ABS(E8)*E9</f>
        <v>9.8999999999999986</v>
      </c>
      <c r="F10" s="50">
        <f>ABS(F8)*F9</f>
        <v>12</v>
      </c>
      <c r="G10" s="50">
        <f>ABS(G8)*G9</f>
        <v>45</v>
      </c>
      <c r="H10" s="15" t="s">
        <v>4</v>
      </c>
      <c r="I10" s="15" t="s">
        <v>1091</v>
      </c>
    </row>
    <row r="11" spans="1:9" ht="26.4" x14ac:dyDescent="0.3">
      <c r="A11" s="71">
        <v>6</v>
      </c>
      <c r="B11" s="15" t="s">
        <v>1092</v>
      </c>
      <c r="C11" s="38">
        <v>0.9</v>
      </c>
      <c r="D11" s="38">
        <v>0.8</v>
      </c>
      <c r="E11" s="38">
        <v>0.78</v>
      </c>
      <c r="F11" s="38">
        <v>0.8</v>
      </c>
      <c r="G11" s="38">
        <v>0.88</v>
      </c>
      <c r="H11" s="15"/>
      <c r="I11" s="15" t="s">
        <v>1093</v>
      </c>
    </row>
    <row r="12" spans="1:9" x14ac:dyDescent="0.3">
      <c r="A12" s="71">
        <v>7</v>
      </c>
      <c r="B12" s="15" t="s">
        <v>1094</v>
      </c>
      <c r="C12" s="50">
        <f>C10/C11</f>
        <v>66.666666666666671</v>
      </c>
      <c r="D12" s="50">
        <f>D10/D11</f>
        <v>31.25</v>
      </c>
      <c r="E12" s="50">
        <f>E10/E11</f>
        <v>12.69230769230769</v>
      </c>
      <c r="F12" s="50">
        <f>F10/F11</f>
        <v>15</v>
      </c>
      <c r="G12" s="50">
        <f>G10/G11</f>
        <v>51.136363636363633</v>
      </c>
      <c r="H12" s="15" t="s">
        <v>4</v>
      </c>
      <c r="I12" s="15" t="s">
        <v>1095</v>
      </c>
    </row>
    <row r="13" spans="1:9" x14ac:dyDescent="0.3">
      <c r="A13" s="71">
        <v>8</v>
      </c>
      <c r="B13" s="15" t="s">
        <v>1096</v>
      </c>
      <c r="C13" s="50">
        <f>C12-C10</f>
        <v>6.6666666666666714</v>
      </c>
      <c r="D13" s="50">
        <f>D12-D10</f>
        <v>6.25</v>
      </c>
      <c r="E13" s="50">
        <f>E12-E10</f>
        <v>2.7923076923076913</v>
      </c>
      <c r="F13" s="50">
        <f>F12-F10</f>
        <v>3</v>
      </c>
      <c r="G13" s="50">
        <f>G12-G10</f>
        <v>6.1363636363636331</v>
      </c>
      <c r="H13" s="15" t="s">
        <v>4</v>
      </c>
      <c r="I13" s="15" t="s">
        <v>1097</v>
      </c>
    </row>
    <row r="14" spans="1:9" x14ac:dyDescent="0.3">
      <c r="A14" s="81" t="s">
        <v>1098</v>
      </c>
      <c r="B14" s="82"/>
      <c r="C14" s="82"/>
      <c r="D14" s="82"/>
      <c r="E14" s="82"/>
      <c r="F14" s="82"/>
      <c r="G14" s="82"/>
      <c r="H14" s="82"/>
      <c r="I14" s="83"/>
    </row>
    <row r="15" spans="1:9" x14ac:dyDescent="0.3">
      <c r="A15" s="71">
        <v>9</v>
      </c>
      <c r="B15" s="15" t="s">
        <v>1099</v>
      </c>
      <c r="C15" s="22">
        <f>Calculos!$C$52</f>
        <v>20.717890727893007</v>
      </c>
      <c r="D15" s="22">
        <f>Calculos!$C$52</f>
        <v>20.717890727893007</v>
      </c>
      <c r="E15" s="22">
        <f>Calculos!$C$52</f>
        <v>20.717890727893007</v>
      </c>
      <c r="F15" s="22">
        <f>Calculos!$C$52</f>
        <v>20.717890727893007</v>
      </c>
      <c r="G15" s="22">
        <f>Calculos!$C$52</f>
        <v>20.717890727893007</v>
      </c>
      <c r="H15" s="15" t="s">
        <v>10</v>
      </c>
      <c r="I15" s="15" t="s">
        <v>1100</v>
      </c>
    </row>
    <row r="16" spans="1:9" x14ac:dyDescent="0.3">
      <c r="A16" s="71">
        <v>10</v>
      </c>
      <c r="B16" s="15" t="s">
        <v>1101</v>
      </c>
      <c r="C16" s="22">
        <f>Calculos!$C$63</f>
        <v>30.801642815235375</v>
      </c>
      <c r="D16" s="22">
        <f>Calculos!$C$63</f>
        <v>30.801642815235375</v>
      </c>
      <c r="E16" s="22">
        <f>Calculos!$C$63</f>
        <v>30.801642815235375</v>
      </c>
      <c r="F16" s="22">
        <f>Calculos!$C$63</f>
        <v>30.801642815235375</v>
      </c>
      <c r="G16" s="22">
        <f>Calculos!$C$63</f>
        <v>30.801642815235375</v>
      </c>
      <c r="H16" s="15" t="s">
        <v>10</v>
      </c>
      <c r="I16" s="15" t="s">
        <v>1100</v>
      </c>
    </row>
    <row r="17" spans="1:9" x14ac:dyDescent="0.3">
      <c r="A17" s="71">
        <v>11</v>
      </c>
      <c r="B17" s="15" t="s">
        <v>1102</v>
      </c>
      <c r="C17" s="37">
        <v>15</v>
      </c>
      <c r="D17" s="37">
        <v>8</v>
      </c>
      <c r="E17" s="37">
        <v>8</v>
      </c>
      <c r="F17" s="37">
        <v>4.5</v>
      </c>
      <c r="G17" s="37">
        <v>8</v>
      </c>
      <c r="H17" s="15" t="s">
        <v>10</v>
      </c>
      <c r="I17" s="15" t="s">
        <v>1103</v>
      </c>
    </row>
    <row r="18" spans="1:9" x14ac:dyDescent="0.3">
      <c r="A18" s="71">
        <v>12</v>
      </c>
      <c r="B18" s="15" t="s">
        <v>1104</v>
      </c>
      <c r="C18" s="57" t="str">
        <f>IF(C15&gt;=C17,"OK","REVISAR")</f>
        <v>OK</v>
      </c>
      <c r="D18" s="57" t="str">
        <f>IF(D15&gt;=D17,"OK","REVISAR")</f>
        <v>OK</v>
      </c>
      <c r="E18" s="57" t="str">
        <f>IF(E15&gt;=E17,"OK","REVISAR")</f>
        <v>OK</v>
      </c>
      <c r="F18" s="57" t="str">
        <f>IF(F15&gt;=F17,"OK","REVISAR")</f>
        <v>OK</v>
      </c>
      <c r="G18" s="57" t="str">
        <f>IF(G15&gt;=G17,"OK","REVISAR")</f>
        <v>OK</v>
      </c>
      <c r="H18" s="15"/>
      <c r="I18" s="15" t="s">
        <v>1105</v>
      </c>
    </row>
    <row r="19" spans="1:9" x14ac:dyDescent="0.3">
      <c r="A19" s="71">
        <v>13</v>
      </c>
      <c r="B19" s="15" t="s">
        <v>1106</v>
      </c>
      <c r="C19" s="50">
        <f>C16</f>
        <v>30.801642815235375</v>
      </c>
      <c r="D19" s="50">
        <f>D16</f>
        <v>30.801642815235375</v>
      </c>
      <c r="E19" s="50">
        <f>E16</f>
        <v>30.801642815235375</v>
      </c>
      <c r="F19" s="50">
        <f>F16+ABS(F8)</f>
        <v>42.801642815235375</v>
      </c>
      <c r="G19" s="50">
        <f>G16</f>
        <v>30.801642815235375</v>
      </c>
      <c r="H19" s="15" t="s">
        <v>10</v>
      </c>
      <c r="I19" s="15" t="s">
        <v>1107</v>
      </c>
    </row>
    <row r="20" spans="1:9" x14ac:dyDescent="0.3">
      <c r="A20" s="71">
        <v>14</v>
      </c>
      <c r="B20" s="15" t="s">
        <v>1108</v>
      </c>
      <c r="C20" s="37">
        <v>40</v>
      </c>
      <c r="D20" s="37">
        <v>40</v>
      </c>
      <c r="E20" s="37">
        <v>40</v>
      </c>
      <c r="F20" s="37">
        <v>60</v>
      </c>
      <c r="G20" s="37">
        <v>40</v>
      </c>
      <c r="H20" s="15" t="s">
        <v>10</v>
      </c>
      <c r="I20" s="15" t="s">
        <v>1109</v>
      </c>
    </row>
    <row r="21" spans="1:9" x14ac:dyDescent="0.3">
      <c r="A21" s="71">
        <v>15</v>
      </c>
      <c r="B21" s="15" t="s">
        <v>1110</v>
      </c>
      <c r="C21" s="57" t="str">
        <f>IF(C19&lt;=C20,"OK","REVISAR")</f>
        <v>OK</v>
      </c>
      <c r="D21" s="57" t="str">
        <f>IF(D19&lt;=D20,"OK","REVISAR")</f>
        <v>OK</v>
      </c>
      <c r="E21" s="57" t="str">
        <f>IF(E19&lt;=E20,"OK","REVISAR")</f>
        <v>OK</v>
      </c>
      <c r="F21" s="57" t="str">
        <f>IF(F19&lt;=F20,"OK","REVISAR")</f>
        <v>OK</v>
      </c>
      <c r="G21" s="57" t="str">
        <f>IF(G19&lt;=G20,"OK","REVISAR")</f>
        <v>OK</v>
      </c>
      <c r="H21" s="15"/>
      <c r="I21" s="15" t="s">
        <v>1111</v>
      </c>
    </row>
    <row r="22" spans="1:9" x14ac:dyDescent="0.3">
      <c r="A22" s="71">
        <v>16</v>
      </c>
      <c r="B22" s="15" t="s">
        <v>1112</v>
      </c>
      <c r="C22" s="63">
        <f>1-C19/C20</f>
        <v>0.22995892961911557</v>
      </c>
      <c r="D22" s="63">
        <f>1-D19/D20</f>
        <v>0.22995892961911557</v>
      </c>
      <c r="E22" s="63">
        <f>1-E19/E20</f>
        <v>0.22995892961911557</v>
      </c>
      <c r="F22" s="63">
        <f>1-F19/F20</f>
        <v>0.28663928641274372</v>
      </c>
      <c r="G22" s="63">
        <f>1-G19/G20</f>
        <v>0.22995892961911557</v>
      </c>
      <c r="H22" s="15" t="s">
        <v>821</v>
      </c>
      <c r="I22" s="15" t="s">
        <v>1113</v>
      </c>
    </row>
    <row r="23" spans="1:9" x14ac:dyDescent="0.3">
      <c r="A23" s="81" t="s">
        <v>1114</v>
      </c>
      <c r="B23" s="82"/>
      <c r="C23" s="82"/>
      <c r="D23" s="82"/>
      <c r="E23" s="82"/>
      <c r="F23" s="82"/>
      <c r="G23" s="82"/>
      <c r="H23" s="82"/>
      <c r="I23" s="83"/>
    </row>
    <row r="24" spans="1:9" x14ac:dyDescent="0.3">
      <c r="A24" s="71">
        <v>17</v>
      </c>
      <c r="B24" s="15" t="s">
        <v>1115</v>
      </c>
      <c r="C24" s="31">
        <v>0.5</v>
      </c>
      <c r="D24" s="31">
        <v>0.5</v>
      </c>
      <c r="E24" s="31">
        <v>0.5</v>
      </c>
      <c r="F24" s="31">
        <v>0.5</v>
      </c>
      <c r="G24" s="31">
        <v>0.5</v>
      </c>
      <c r="H24" s="15" t="s">
        <v>10</v>
      </c>
      <c r="I24" s="15" t="s">
        <v>864</v>
      </c>
    </row>
    <row r="25" spans="1:9" x14ac:dyDescent="0.3">
      <c r="A25" s="71">
        <v>18</v>
      </c>
      <c r="B25" s="15" t="s">
        <v>1116</v>
      </c>
      <c r="C25" s="32">
        <v>0.12</v>
      </c>
      <c r="D25" s="32">
        <v>0.12</v>
      </c>
      <c r="E25" s="32">
        <v>0.12</v>
      </c>
      <c r="F25" s="32">
        <v>9.1999999999999998E-2</v>
      </c>
      <c r="G25" s="32">
        <v>0.12</v>
      </c>
      <c r="H25" s="15" t="s">
        <v>952</v>
      </c>
      <c r="I25" s="15" t="s">
        <v>1117</v>
      </c>
    </row>
    <row r="26" spans="1:9" x14ac:dyDescent="0.3">
      <c r="A26" s="71">
        <v>19</v>
      </c>
      <c r="B26" s="15" t="s">
        <v>1118</v>
      </c>
      <c r="C26" s="60">
        <f>C25*C9</f>
        <v>0.6</v>
      </c>
      <c r="D26" s="60">
        <f>D25*D9</f>
        <v>0.6</v>
      </c>
      <c r="E26" s="60">
        <f>E25*E9</f>
        <v>0.36</v>
      </c>
      <c r="F26" s="60">
        <f>F25*F9</f>
        <v>9.1999999999999998E-2</v>
      </c>
      <c r="G26" s="60">
        <f>G25*G9</f>
        <v>0.36</v>
      </c>
      <c r="H26" s="15" t="s">
        <v>10</v>
      </c>
      <c r="I26" s="15" t="s">
        <v>1119</v>
      </c>
    </row>
    <row r="27" spans="1:9" x14ac:dyDescent="0.3">
      <c r="A27" s="71">
        <v>20</v>
      </c>
      <c r="B27" s="15" t="s">
        <v>1120</v>
      </c>
      <c r="C27" s="58">
        <f>(ABS(C8)+C24)/(C15-C26+C24)</f>
        <v>0.60626958232392414</v>
      </c>
      <c r="D27" s="58">
        <f>(ABS(D8)+D24)/(D15-D26+D24)</f>
        <v>0.26675861622252661</v>
      </c>
      <c r="E27" s="58">
        <f>(ABS(E8)+E24)/(E15-E26+E24)</f>
        <v>0.18218524823885021</v>
      </c>
      <c r="F27" s="58">
        <f>ABS(F8)/(F15+ABS(F8))</f>
        <v>0.36677180994952197</v>
      </c>
      <c r="G27" s="58">
        <f>(ABS(G8)+G24)/(G15-G26+G24)</f>
        <v>0.74312403886899436</v>
      </c>
      <c r="H27" s="15"/>
      <c r="I27" s="15" t="s">
        <v>1121</v>
      </c>
    </row>
    <row r="28" spans="1:9" x14ac:dyDescent="0.3">
      <c r="A28" s="71">
        <v>21</v>
      </c>
      <c r="B28" s="15" t="s">
        <v>1122</v>
      </c>
      <c r="C28" s="58">
        <f>(ABS(C8)+C24)/(C16-C26+C24)</f>
        <v>0.40714433671272482</v>
      </c>
      <c r="D28" s="58">
        <f>(ABS(D8)+D24)/(D16-D26+D24)</f>
        <v>0.17914350815359892</v>
      </c>
      <c r="E28" s="58">
        <f>(ABS(E8)+E24)/(E16-E26+E24)</f>
        <v>0.12281183719595248</v>
      </c>
      <c r="F28" s="58">
        <f>ABS(F8)/(F16+ABS(F8))</f>
        <v>0.28036307045038383</v>
      </c>
      <c r="G28" s="58">
        <f>(ABS(G8)+G24)/(G16-G26+G24)</f>
        <v>0.50094302014138514</v>
      </c>
      <c r="H28" s="15"/>
      <c r="I28" s="15" t="s">
        <v>1123</v>
      </c>
    </row>
    <row r="29" spans="1:9" x14ac:dyDescent="0.3">
      <c r="A29" s="71">
        <v>22</v>
      </c>
      <c r="B29" s="15" t="s">
        <v>1124</v>
      </c>
      <c r="C29" s="38">
        <v>0.91</v>
      </c>
      <c r="D29" s="38">
        <v>0.91</v>
      </c>
      <c r="E29" s="38">
        <v>0.91</v>
      </c>
      <c r="F29" s="28" t="s">
        <v>170</v>
      </c>
      <c r="G29" s="38">
        <v>0.91</v>
      </c>
      <c r="H29" s="15"/>
      <c r="I29" s="15" t="s">
        <v>1125</v>
      </c>
    </row>
    <row r="30" spans="1:9" x14ac:dyDescent="0.3">
      <c r="A30" s="71">
        <v>23</v>
      </c>
      <c r="B30" s="15" t="s">
        <v>1126</v>
      </c>
      <c r="C30" s="57" t="str">
        <f>IF(C27&lt;=C29,"OK","REVISAR")</f>
        <v>OK</v>
      </c>
      <c r="D30" s="57" t="str">
        <f>IF(D27&lt;=D29,"OK","REVISAR")</f>
        <v>OK</v>
      </c>
      <c r="E30" s="57" t="str">
        <f>IF(E27&lt;=E29,"OK","REVISAR")</f>
        <v>OK</v>
      </c>
      <c r="F30" s="28" t="s">
        <v>170</v>
      </c>
      <c r="G30" s="57" t="str">
        <f>IF(G27&lt;=G29,"OK","REVISAR")</f>
        <v>OK</v>
      </c>
      <c r="H30" s="15"/>
      <c r="I30" s="15" t="s">
        <v>1127</v>
      </c>
    </row>
    <row r="31" spans="1:9" x14ac:dyDescent="0.3">
      <c r="A31" s="81" t="s">
        <v>1128</v>
      </c>
      <c r="B31" s="82"/>
      <c r="C31" s="82"/>
      <c r="D31" s="82"/>
      <c r="E31" s="82"/>
      <c r="F31" s="82"/>
      <c r="G31" s="82"/>
      <c r="H31" s="82"/>
      <c r="I31" s="83"/>
    </row>
    <row r="32" spans="1:9" ht="26.4" x14ac:dyDescent="0.3">
      <c r="A32" s="71">
        <v>24</v>
      </c>
      <c r="B32" s="15" t="s">
        <v>1129</v>
      </c>
      <c r="C32" s="34">
        <v>260</v>
      </c>
      <c r="D32" s="34">
        <v>260</v>
      </c>
      <c r="E32" s="34">
        <v>260</v>
      </c>
      <c r="F32" s="34">
        <v>400</v>
      </c>
      <c r="G32" s="34">
        <v>260</v>
      </c>
      <c r="H32" s="15" t="s">
        <v>1130</v>
      </c>
      <c r="I32" s="15" t="s">
        <v>1131</v>
      </c>
    </row>
    <row r="33" spans="1:9" x14ac:dyDescent="0.3">
      <c r="A33" s="71">
        <v>25</v>
      </c>
      <c r="B33" s="15" t="s">
        <v>1132</v>
      </c>
      <c r="C33" s="50">
        <f>(C16-C26-ABS(C8))*(ABS(C8)+C24)/(C16-C26+C24)*1000/C32</f>
        <v>28.502676119580535</v>
      </c>
      <c r="D33" s="50">
        <f>(D16-D26-ABS(D8))*(ABS(D8)+D24)/(D16-D26+D24)*1000/D32</f>
        <v>17.36427194290464</v>
      </c>
      <c r="E33" s="50">
        <f>(E16-E26-ABS(E8))*(ABS(E8)+E24)/(E16-E26+E24)*1000/E32</f>
        <v>12.820442379443772</v>
      </c>
      <c r="F33" s="28" t="s">
        <v>170</v>
      </c>
      <c r="G33" s="50">
        <f>(G16-G26-ABS(G8))*(ABS(G8)+G24)/(G16-G26+G24)*1000/G32</f>
        <v>29.751473799263579</v>
      </c>
      <c r="H33" s="15" t="s">
        <v>1133</v>
      </c>
      <c r="I33" s="15" t="s">
        <v>1134</v>
      </c>
    </row>
    <row r="34" spans="1:9" x14ac:dyDescent="0.3">
      <c r="A34" s="71">
        <v>26</v>
      </c>
      <c r="B34" s="15" t="s">
        <v>1135</v>
      </c>
      <c r="C34" s="50">
        <f>C33/(Calculos!$C$14*C9)</f>
        <v>19.001784079720355</v>
      </c>
      <c r="D34" s="50">
        <f>D33/(Calculos!$C$14*D9)</f>
        <v>11.576181295269761</v>
      </c>
      <c r="E34" s="50">
        <f>E33/(Calculos!$C$14*E9)</f>
        <v>14.244935977159749</v>
      </c>
      <c r="F34" s="28" t="s">
        <v>170</v>
      </c>
      <c r="G34" s="50">
        <f>G33/(Calculos!$C$14*G9)</f>
        <v>33.057193110292872</v>
      </c>
      <c r="H34" s="15" t="s">
        <v>1136</v>
      </c>
      <c r="I34" s="15" t="s">
        <v>1137</v>
      </c>
    </row>
    <row r="35" spans="1:9" ht="26.4" x14ac:dyDescent="0.3">
      <c r="A35" s="71">
        <v>27</v>
      </c>
      <c r="B35" s="15" t="s">
        <v>1138</v>
      </c>
      <c r="C35" s="34">
        <v>22</v>
      </c>
      <c r="D35" s="34">
        <v>22</v>
      </c>
      <c r="E35" s="34">
        <v>22</v>
      </c>
      <c r="F35" s="34">
        <v>33</v>
      </c>
      <c r="G35" s="34">
        <v>47</v>
      </c>
      <c r="H35" s="15" t="s">
        <v>1136</v>
      </c>
      <c r="I35" s="15" t="s">
        <v>1139</v>
      </c>
    </row>
    <row r="36" spans="1:9" x14ac:dyDescent="0.3">
      <c r="A36" s="71">
        <v>28</v>
      </c>
      <c r="B36" s="15" t="s">
        <v>1140</v>
      </c>
      <c r="C36" s="60">
        <f>C33/C35</f>
        <v>1.2955761872536606</v>
      </c>
      <c r="D36" s="60">
        <f>D33/D35</f>
        <v>0.78928508831384725</v>
      </c>
      <c r="E36" s="60">
        <f>E33/E35</f>
        <v>0.58274738088380784</v>
      </c>
      <c r="F36" s="60">
        <f>F15*F27/(F32*1000*F35*0.000001)</f>
        <v>0.57566199095498005</v>
      </c>
      <c r="G36" s="60">
        <f>G33/G35</f>
        <v>0.63301008083539534</v>
      </c>
      <c r="H36" s="15" t="s">
        <v>117</v>
      </c>
      <c r="I36" s="15" t="s">
        <v>1141</v>
      </c>
    </row>
    <row r="37" spans="1:9" x14ac:dyDescent="0.3">
      <c r="A37" s="71">
        <v>29</v>
      </c>
      <c r="B37" s="15" t="s">
        <v>1142</v>
      </c>
      <c r="C37" s="60">
        <f>C9</f>
        <v>5</v>
      </c>
      <c r="D37" s="60">
        <f>D9</f>
        <v>5</v>
      </c>
      <c r="E37" s="60">
        <f>E9</f>
        <v>3</v>
      </c>
      <c r="F37" s="60">
        <f>F9/(1-F27)</f>
        <v>1.579209542014048</v>
      </c>
      <c r="G37" s="60">
        <f>G9</f>
        <v>3</v>
      </c>
      <c r="H37" s="15" t="s">
        <v>117</v>
      </c>
      <c r="I37" s="15" t="s">
        <v>1143</v>
      </c>
    </row>
    <row r="38" spans="1:9" x14ac:dyDescent="0.3">
      <c r="A38" s="71">
        <v>30</v>
      </c>
      <c r="B38" s="15" t="s">
        <v>1144</v>
      </c>
      <c r="C38" s="60">
        <f>C37+C36/2</f>
        <v>5.6477880936268301</v>
      </c>
      <c r="D38" s="60">
        <f>D37+D36/2</f>
        <v>5.3946425441569232</v>
      </c>
      <c r="E38" s="60">
        <f>E37+E36/2</f>
        <v>3.2913736904419038</v>
      </c>
      <c r="F38" s="60">
        <f>F37+F36/2</f>
        <v>1.867040537491538</v>
      </c>
      <c r="G38" s="60">
        <f>G37+G36/2</f>
        <v>3.3165050404176979</v>
      </c>
      <c r="H38" s="15" t="s">
        <v>117</v>
      </c>
      <c r="I38" s="15" t="s">
        <v>1145</v>
      </c>
    </row>
    <row r="39" spans="1:9" x14ac:dyDescent="0.3">
      <c r="A39" s="71">
        <v>31</v>
      </c>
      <c r="B39" s="15" t="s">
        <v>1146</v>
      </c>
      <c r="C39" s="31">
        <v>5.22</v>
      </c>
      <c r="D39" s="31">
        <v>5.22</v>
      </c>
      <c r="E39" s="31">
        <v>5.22</v>
      </c>
      <c r="F39" s="31">
        <v>4.26</v>
      </c>
      <c r="G39" s="31">
        <v>3.57</v>
      </c>
      <c r="H39" s="15" t="s">
        <v>117</v>
      </c>
      <c r="I39" s="15" t="s">
        <v>1147</v>
      </c>
    </row>
    <row r="40" spans="1:9" x14ac:dyDescent="0.3">
      <c r="A40" s="71">
        <v>32</v>
      </c>
      <c r="B40" s="15" t="s">
        <v>1148</v>
      </c>
      <c r="C40" s="57" t="str">
        <f>IF(AND(C35&gt;=C34,C38&lt;=C39),"OK","REVISAR")</f>
        <v>REVISAR</v>
      </c>
      <c r="D40" s="57" t="str">
        <f>IF(AND(D35&gt;=D34,D38&lt;=D39),"OK","REVISAR")</f>
        <v>REVISAR</v>
      </c>
      <c r="E40" s="57" t="str">
        <f>IF(AND(E35&gt;=E34,E38&lt;=E39),"OK","REVISAR")</f>
        <v>OK</v>
      </c>
      <c r="F40" s="57" t="str">
        <f>IF(F38&lt;=F39,"OK","REVISAR")</f>
        <v>OK</v>
      </c>
      <c r="G40" s="57" t="str">
        <f>IF(AND(G35&gt;=G34,G38&lt;=G39),"OK","REVISAR")</f>
        <v>OK</v>
      </c>
      <c r="H40" s="15"/>
      <c r="I40" s="15" t="s">
        <v>1149</v>
      </c>
    </row>
    <row r="41" spans="1:9" ht="26.4" x14ac:dyDescent="0.3">
      <c r="A41" s="71">
        <v>33</v>
      </c>
      <c r="B41" s="15" t="s">
        <v>1150</v>
      </c>
      <c r="C41" s="72" t="s">
        <v>542</v>
      </c>
      <c r="D41" s="72" t="s">
        <v>542</v>
      </c>
      <c r="E41" s="72" t="s">
        <v>542</v>
      </c>
      <c r="F41" s="72" t="s">
        <v>561</v>
      </c>
      <c r="G41" s="72" t="s">
        <v>552</v>
      </c>
      <c r="H41" s="15"/>
      <c r="I41" s="15" t="s">
        <v>1151</v>
      </c>
    </row>
    <row r="42" spans="1:9" x14ac:dyDescent="0.3">
      <c r="A42" s="81" t="s">
        <v>1152</v>
      </c>
      <c r="B42" s="82"/>
      <c r="C42" s="82"/>
      <c r="D42" s="82"/>
      <c r="E42" s="82"/>
      <c r="F42" s="82"/>
      <c r="G42" s="82"/>
      <c r="H42" s="82"/>
      <c r="I42" s="83"/>
    </row>
    <row r="43" spans="1:9" ht="26.4" x14ac:dyDescent="0.3">
      <c r="A43" s="71">
        <v>34</v>
      </c>
      <c r="B43" s="15" t="s">
        <v>1153</v>
      </c>
      <c r="C43" s="31">
        <v>5.75</v>
      </c>
      <c r="D43" s="31">
        <v>5.75</v>
      </c>
      <c r="E43" s="31">
        <v>5.75</v>
      </c>
      <c r="F43" s="31">
        <v>5</v>
      </c>
      <c r="G43" s="31">
        <v>5.75</v>
      </c>
      <c r="H43" s="15" t="s">
        <v>117</v>
      </c>
      <c r="I43" s="15" t="s">
        <v>1154</v>
      </c>
    </row>
    <row r="44" spans="1:9" x14ac:dyDescent="0.3">
      <c r="A44" s="71">
        <v>35</v>
      </c>
      <c r="B44" s="15" t="s">
        <v>1155</v>
      </c>
      <c r="C44" s="60">
        <f>C43-C36/2</f>
        <v>5.1022119063731699</v>
      </c>
      <c r="D44" s="60">
        <f>D43-D36/2</f>
        <v>5.3553574558430768</v>
      </c>
      <c r="E44" s="60">
        <f>E43-E36/2</f>
        <v>5.4586263095580962</v>
      </c>
      <c r="F44" s="60">
        <f>(F43-F36/2)*(1-F27)</f>
        <v>2.9838782499457519</v>
      </c>
      <c r="G44" s="60">
        <f>G43-G36/2</f>
        <v>5.4334949595823021</v>
      </c>
      <c r="H44" s="15" t="s">
        <v>117</v>
      </c>
      <c r="I44" s="15" t="s">
        <v>1156</v>
      </c>
    </row>
    <row r="45" spans="1:9" x14ac:dyDescent="0.3">
      <c r="A45" s="71">
        <v>36</v>
      </c>
      <c r="B45" s="15" t="s">
        <v>1157</v>
      </c>
      <c r="C45" s="57" t="str">
        <f>IF(C44&gt;=C9,"OK","REVISAR")</f>
        <v>OK</v>
      </c>
      <c r="D45" s="57" t="str">
        <f>IF(D44&gt;=D9,"OK","REVISAR")</f>
        <v>OK</v>
      </c>
      <c r="E45" s="57" t="str">
        <f>IF(E44&gt;=E9,"OK","REVISAR")</f>
        <v>OK</v>
      </c>
      <c r="F45" s="57" t="str">
        <f>IF(F44&gt;=F9,"OK","REVISAR")</f>
        <v>OK</v>
      </c>
      <c r="G45" s="57" t="str">
        <f>IF(G44&gt;=G9,"OK","REVISAR")</f>
        <v>OK</v>
      </c>
      <c r="H45" s="15"/>
      <c r="I45" s="15" t="s">
        <v>1158</v>
      </c>
    </row>
    <row r="46" spans="1:9" x14ac:dyDescent="0.3">
      <c r="A46" s="81" t="s">
        <v>1159</v>
      </c>
      <c r="B46" s="82"/>
      <c r="C46" s="82"/>
      <c r="D46" s="82"/>
      <c r="E46" s="82"/>
      <c r="F46" s="82"/>
      <c r="G46" s="82"/>
      <c r="H46" s="82"/>
      <c r="I46" s="83"/>
    </row>
    <row r="47" spans="1:9" ht="26.4" x14ac:dyDescent="0.3">
      <c r="A47" s="71">
        <v>37</v>
      </c>
      <c r="B47" s="15" t="s">
        <v>1160</v>
      </c>
      <c r="C47" s="35">
        <v>560</v>
      </c>
      <c r="D47" s="35">
        <v>560</v>
      </c>
      <c r="E47" s="35">
        <v>1000</v>
      </c>
      <c r="F47" s="35">
        <v>100</v>
      </c>
      <c r="G47" s="35">
        <v>1120</v>
      </c>
      <c r="H47" s="15" t="s">
        <v>14</v>
      </c>
      <c r="I47" s="15" t="s">
        <v>1161</v>
      </c>
    </row>
    <row r="48" spans="1:9" x14ac:dyDescent="0.3">
      <c r="A48" s="71">
        <v>38</v>
      </c>
      <c r="B48" s="15" t="s">
        <v>1162</v>
      </c>
      <c r="C48" s="34">
        <v>35</v>
      </c>
      <c r="D48" s="34">
        <v>35</v>
      </c>
      <c r="E48" s="34">
        <v>35</v>
      </c>
      <c r="F48" s="34">
        <v>25</v>
      </c>
      <c r="G48" s="34">
        <v>35</v>
      </c>
      <c r="H48" s="15" t="s">
        <v>10</v>
      </c>
      <c r="I48" s="15" t="s">
        <v>1163</v>
      </c>
    </row>
    <row r="49" spans="1:9" x14ac:dyDescent="0.3">
      <c r="A49" s="71">
        <v>39</v>
      </c>
      <c r="B49" s="15" t="s">
        <v>1164</v>
      </c>
      <c r="C49" s="57" t="str">
        <f>IF(C48&gt;=1.3*ABS(C8),"OK","REVISAR")</f>
        <v>OK</v>
      </c>
      <c r="D49" s="57" t="str">
        <f>IF(D48&gt;=1.3*ABS(D8),"OK","REVISAR")</f>
        <v>OK</v>
      </c>
      <c r="E49" s="57" t="str">
        <f>IF(E48&gt;=1.3*ABS(E8),"OK","REVISAR")</f>
        <v>OK</v>
      </c>
      <c r="F49" s="57" t="str">
        <f>IF(F48&gt;=1.3*ABS(F8),"OK","REVISAR")</f>
        <v>OK</v>
      </c>
      <c r="G49" s="57" t="str">
        <f>IF(G48&gt;=1.3*ABS(G8),"OK","REVISAR")</f>
        <v>OK</v>
      </c>
      <c r="H49" s="15"/>
      <c r="I49" s="15" t="s">
        <v>1165</v>
      </c>
    </row>
    <row r="50" spans="1:9" x14ac:dyDescent="0.3">
      <c r="A50" s="71">
        <v>40</v>
      </c>
      <c r="B50" s="15" t="s">
        <v>1166</v>
      </c>
      <c r="C50" s="32">
        <v>0.06</v>
      </c>
      <c r="D50" s="32">
        <v>0.06</v>
      </c>
      <c r="E50" s="32">
        <v>0.05</v>
      </c>
      <c r="F50" s="32">
        <v>0.05</v>
      </c>
      <c r="G50" s="32">
        <v>0.03</v>
      </c>
      <c r="H50" s="15" t="s">
        <v>952</v>
      </c>
      <c r="I50" s="15" t="s">
        <v>1167</v>
      </c>
    </row>
    <row r="51" spans="1:9" x14ac:dyDescent="0.3">
      <c r="A51" s="71">
        <v>41</v>
      </c>
      <c r="B51" s="15" t="s">
        <v>1168</v>
      </c>
      <c r="C51" s="68">
        <f>C36*C50</f>
        <v>7.7734571235219638E-2</v>
      </c>
      <c r="D51" s="68">
        <f>D36*D50</f>
        <v>4.7357105298830832E-2</v>
      </c>
      <c r="E51" s="68">
        <f>E36*E50</f>
        <v>2.9137369044190394E-2</v>
      </c>
      <c r="F51" s="68">
        <f>F38*F50+F9*F27/(F32*1000*F47*0.000001)</f>
        <v>0.10252132212331495</v>
      </c>
      <c r="G51" s="68">
        <f>G36*G50</f>
        <v>1.8990302425061858E-2</v>
      </c>
      <c r="H51" s="15" t="s">
        <v>10</v>
      </c>
      <c r="I51" s="15" t="s">
        <v>1169</v>
      </c>
    </row>
    <row r="52" spans="1:9" x14ac:dyDescent="0.3">
      <c r="A52" s="71">
        <v>42</v>
      </c>
      <c r="B52" s="15" t="s">
        <v>1170</v>
      </c>
      <c r="C52" s="73">
        <f>C51/ABS(C8)</f>
        <v>6.4778809362683034E-3</v>
      </c>
      <c r="D52" s="73">
        <f>D51/ABS(D8)</f>
        <v>9.4714210597661667E-3</v>
      </c>
      <c r="E52" s="73">
        <f>E51/ABS(E8)</f>
        <v>8.8295057709667866E-3</v>
      </c>
      <c r="F52" s="73">
        <f>F51/ABS(F8)</f>
        <v>8.5434435102762461E-3</v>
      </c>
      <c r="G52" s="73">
        <f>G51/ABS(G8)</f>
        <v>1.2660201616707905E-3</v>
      </c>
      <c r="H52" s="15" t="s">
        <v>821</v>
      </c>
      <c r="I52" s="15" t="s">
        <v>1171</v>
      </c>
    </row>
    <row r="53" spans="1:9" x14ac:dyDescent="0.3">
      <c r="A53" s="71">
        <v>43</v>
      </c>
      <c r="B53" s="15" t="s">
        <v>1172</v>
      </c>
      <c r="C53" s="57" t="str">
        <f>IF(C52&lt;=Calculos!$C$13,"OK","REVISAR")</f>
        <v>OK</v>
      </c>
      <c r="D53" s="57" t="str">
        <f>IF(D52&lt;=Calculos!$C$13,"OK","REVISAR")</f>
        <v>OK</v>
      </c>
      <c r="E53" s="57" t="str">
        <f>IF(E52&lt;=Calculos!$C$13,"OK","REVISAR")</f>
        <v>OK</v>
      </c>
      <c r="F53" s="57" t="str">
        <f>IF(F52&lt;=Calculos!$C$13,"OK","REVISAR")</f>
        <v>OK</v>
      </c>
      <c r="G53" s="57" t="str">
        <f>IF(G52&lt;=Calculos!$C$13,"OK","REVISAR")</f>
        <v>OK</v>
      </c>
      <c r="H53" s="15"/>
      <c r="I53" s="15" t="s">
        <v>1173</v>
      </c>
    </row>
    <row r="54" spans="1:9" ht="26.4" x14ac:dyDescent="0.3">
      <c r="A54" s="71">
        <v>44</v>
      </c>
      <c r="B54" s="15" t="s">
        <v>1174</v>
      </c>
      <c r="C54" s="72" t="s">
        <v>1175</v>
      </c>
      <c r="D54" s="72" t="s">
        <v>1175</v>
      </c>
      <c r="E54" s="72" t="s">
        <v>1176</v>
      </c>
      <c r="F54" s="72" t="s">
        <v>1177</v>
      </c>
      <c r="G54" s="72" t="s">
        <v>1178</v>
      </c>
      <c r="H54" s="15"/>
      <c r="I54" s="15" t="s">
        <v>1179</v>
      </c>
    </row>
    <row r="55" spans="1:9" x14ac:dyDescent="0.3">
      <c r="A55" s="81" t="s">
        <v>1180</v>
      </c>
      <c r="B55" s="82"/>
      <c r="C55" s="82"/>
      <c r="D55" s="82"/>
      <c r="E55" s="82"/>
      <c r="F55" s="82"/>
      <c r="G55" s="82"/>
      <c r="H55" s="82"/>
      <c r="I55" s="83"/>
    </row>
    <row r="56" spans="1:9" ht="26.4" x14ac:dyDescent="0.3">
      <c r="A56" s="71">
        <v>45</v>
      </c>
      <c r="B56" s="15" t="s">
        <v>1181</v>
      </c>
      <c r="C56" s="35">
        <v>1500</v>
      </c>
      <c r="D56" s="35">
        <v>1500</v>
      </c>
      <c r="E56" s="35">
        <v>1500</v>
      </c>
      <c r="F56" s="35">
        <v>100</v>
      </c>
      <c r="G56" s="35">
        <v>1500</v>
      </c>
      <c r="H56" s="15" t="s">
        <v>14</v>
      </c>
      <c r="I56" s="15" t="s">
        <v>1182</v>
      </c>
    </row>
    <row r="57" spans="1:9" x14ac:dyDescent="0.3">
      <c r="A57" s="71">
        <v>46</v>
      </c>
      <c r="B57" s="15" t="s">
        <v>1183</v>
      </c>
      <c r="C57" s="34">
        <v>63</v>
      </c>
      <c r="D57" s="34">
        <v>63</v>
      </c>
      <c r="E57" s="34">
        <v>63</v>
      </c>
      <c r="F57" s="34">
        <v>63</v>
      </c>
      <c r="G57" s="34">
        <v>63</v>
      </c>
      <c r="H57" s="15" t="s">
        <v>10</v>
      </c>
      <c r="I57" s="15" t="s">
        <v>1184</v>
      </c>
    </row>
    <row r="58" spans="1:9" x14ac:dyDescent="0.3">
      <c r="A58" s="71">
        <v>47</v>
      </c>
      <c r="B58" s="15" t="s">
        <v>1185</v>
      </c>
      <c r="C58" s="60">
        <f>C9/2</f>
        <v>2.5</v>
      </c>
      <c r="D58" s="60">
        <f>D9/2</f>
        <v>2.5</v>
      </c>
      <c r="E58" s="60">
        <f>E9/2</f>
        <v>1.5</v>
      </c>
      <c r="F58" s="60">
        <f>F37*SQRT(F27*(1-F27))</f>
        <v>0.76105817255584873</v>
      </c>
      <c r="G58" s="60">
        <f>G9/2</f>
        <v>1.5</v>
      </c>
      <c r="H58" s="15" t="s">
        <v>117</v>
      </c>
      <c r="I58" s="15" t="s">
        <v>1186</v>
      </c>
    </row>
    <row r="59" spans="1:9" x14ac:dyDescent="0.3">
      <c r="A59" s="71">
        <v>48</v>
      </c>
      <c r="B59" s="15" t="s">
        <v>1187</v>
      </c>
      <c r="C59" s="31">
        <v>2.5099999999999998</v>
      </c>
      <c r="D59" s="31">
        <v>2.5099999999999998</v>
      </c>
      <c r="E59" s="31">
        <v>2.5099999999999998</v>
      </c>
      <c r="F59" s="31">
        <v>1</v>
      </c>
      <c r="G59" s="31">
        <v>2.5099999999999998</v>
      </c>
      <c r="H59" s="15" t="s">
        <v>117</v>
      </c>
      <c r="I59" s="15" t="s">
        <v>1188</v>
      </c>
    </row>
    <row r="60" spans="1:9" x14ac:dyDescent="0.3">
      <c r="A60" s="71">
        <v>49</v>
      </c>
      <c r="B60" s="15" t="s">
        <v>1189</v>
      </c>
      <c r="C60" s="57" t="str">
        <f>IF(AND(C57&gt;=1.3*C19,C59&gt;=C58),"OK","REVISAR")</f>
        <v>OK</v>
      </c>
      <c r="D60" s="57" t="str">
        <f>IF(AND(D57&gt;=1.3*D19,D59&gt;=D58),"OK","REVISAR")</f>
        <v>OK</v>
      </c>
      <c r="E60" s="57" t="str">
        <f>IF(AND(E57&gt;=1.3*E19,E59&gt;=E58),"OK","REVISAR")</f>
        <v>OK</v>
      </c>
      <c r="F60" s="57" t="str">
        <f>IF(AND(F57&gt;=1.3*F19,F59&gt;=F58),"OK","REVISAR")</f>
        <v>OK</v>
      </c>
      <c r="G60" s="57" t="str">
        <f>IF(AND(G57&gt;=1.3*G19,G59&gt;=G58),"OK","REVISAR")</f>
        <v>OK</v>
      </c>
      <c r="H60" s="15"/>
      <c r="I60" s="15" t="s">
        <v>1190</v>
      </c>
    </row>
    <row r="61" spans="1:9" x14ac:dyDescent="0.3">
      <c r="A61" s="81" t="s">
        <v>1191</v>
      </c>
      <c r="B61" s="82"/>
      <c r="C61" s="82"/>
      <c r="D61" s="82"/>
      <c r="E61" s="82"/>
      <c r="F61" s="82"/>
      <c r="G61" s="82"/>
      <c r="H61" s="82"/>
      <c r="I61" s="83"/>
    </row>
    <row r="62" spans="1:9" x14ac:dyDescent="0.3">
      <c r="A62" s="71">
        <v>50</v>
      </c>
      <c r="B62" s="15" t="s">
        <v>1192</v>
      </c>
      <c r="C62" s="72" t="s">
        <v>569</v>
      </c>
      <c r="D62" s="72" t="s">
        <v>569</v>
      </c>
      <c r="E62" s="72" t="s">
        <v>569</v>
      </c>
      <c r="F62" s="72" t="s">
        <v>578</v>
      </c>
      <c r="G62" s="72" t="s">
        <v>569</v>
      </c>
      <c r="H62" s="15"/>
      <c r="I62" s="15" t="s">
        <v>1193</v>
      </c>
    </row>
    <row r="63" spans="1:9" x14ac:dyDescent="0.3">
      <c r="A63" s="71">
        <v>51</v>
      </c>
      <c r="B63" s="15" t="s">
        <v>1194</v>
      </c>
      <c r="C63" s="34">
        <v>45</v>
      </c>
      <c r="D63" s="34">
        <v>45</v>
      </c>
      <c r="E63" s="34">
        <v>45</v>
      </c>
      <c r="F63" s="34">
        <v>60</v>
      </c>
      <c r="G63" s="34">
        <v>45</v>
      </c>
      <c r="H63" s="15" t="s">
        <v>10</v>
      </c>
      <c r="I63" s="15" t="s">
        <v>1184</v>
      </c>
    </row>
    <row r="64" spans="1:9" x14ac:dyDescent="0.3">
      <c r="A64" s="71">
        <v>52</v>
      </c>
      <c r="B64" s="15" t="s">
        <v>1195</v>
      </c>
      <c r="C64" s="37">
        <v>7.5</v>
      </c>
      <c r="D64" s="37">
        <v>7.5</v>
      </c>
      <c r="E64" s="37">
        <v>7.5</v>
      </c>
      <c r="F64" s="37">
        <v>3</v>
      </c>
      <c r="G64" s="37">
        <v>7.5</v>
      </c>
      <c r="H64" s="15" t="s">
        <v>117</v>
      </c>
      <c r="I64" s="15" t="s">
        <v>1196</v>
      </c>
    </row>
    <row r="65" spans="1:9" x14ac:dyDescent="0.3">
      <c r="A65" s="71">
        <v>53</v>
      </c>
      <c r="B65" s="15" t="s">
        <v>1197</v>
      </c>
      <c r="C65" s="57" t="str">
        <f>IF(AND(C63&gt;=1.3*C19,C64&gt;=C38),"OK","REVISAR")</f>
        <v>OK</v>
      </c>
      <c r="D65" s="57" t="str">
        <f>IF(AND(D63&gt;=1.3*D19,D64&gt;=D38),"OK","REVISAR")</f>
        <v>OK</v>
      </c>
      <c r="E65" s="57" t="str">
        <f>IF(AND(E63&gt;=1.3*E19,E64&gt;=E38),"OK","REVISAR")</f>
        <v>OK</v>
      </c>
      <c r="F65" s="57" t="str">
        <f>IF(AND(F63&gt;=1.3*F19,F64&gt;=F38),"OK","REVISAR")</f>
        <v>OK</v>
      </c>
      <c r="G65" s="57" t="str">
        <f>IF(AND(G63&gt;=1.3*G19,G64&gt;=G38),"OK","REVISAR")</f>
        <v>OK</v>
      </c>
      <c r="H65" s="15"/>
      <c r="I65" s="15" t="s">
        <v>1198</v>
      </c>
    </row>
    <row r="66" spans="1:9" x14ac:dyDescent="0.3">
      <c r="A66" s="71">
        <v>54</v>
      </c>
      <c r="B66" s="15" t="s">
        <v>1199</v>
      </c>
      <c r="C66" s="60">
        <f>C24*C9*(1-C28)</f>
        <v>1.482139158218188</v>
      </c>
      <c r="D66" s="60">
        <f>D24*D9*(1-D28)</f>
        <v>2.0521412296160029</v>
      </c>
      <c r="E66" s="60">
        <f>E24*E9*(1-E28)</f>
        <v>1.3157822442060714</v>
      </c>
      <c r="F66" s="60">
        <f>F24*F9</f>
        <v>0.5</v>
      </c>
      <c r="G66" s="60">
        <f>G24*G9*(1-(Calculos!$C$132+G24)/(G16-G26+G24))</f>
        <v>1.4152040303029096</v>
      </c>
      <c r="H66" s="15" t="s">
        <v>4</v>
      </c>
      <c r="I66" s="15" t="s">
        <v>1200</v>
      </c>
    </row>
    <row r="67" spans="1:9" x14ac:dyDescent="0.3">
      <c r="A67" s="81" t="s">
        <v>1201</v>
      </c>
      <c r="B67" s="82"/>
      <c r="C67" s="82"/>
      <c r="D67" s="82"/>
      <c r="E67" s="82"/>
      <c r="F67" s="82"/>
      <c r="G67" s="82"/>
      <c r="H67" s="82"/>
      <c r="I67" s="83"/>
    </row>
    <row r="68" spans="1:9" ht="26.4" x14ac:dyDescent="0.3">
      <c r="A68" s="71">
        <v>55</v>
      </c>
      <c r="B68" s="15" t="s">
        <v>1202</v>
      </c>
      <c r="C68" s="72" t="s">
        <v>1203</v>
      </c>
      <c r="D68" s="72" t="s">
        <v>1203</v>
      </c>
      <c r="E68" s="72" t="s">
        <v>1203</v>
      </c>
      <c r="F68" s="72" t="s">
        <v>1204</v>
      </c>
      <c r="G68" s="72" t="s">
        <v>1203</v>
      </c>
      <c r="H68" s="15"/>
      <c r="I68" s="15" t="s">
        <v>1205</v>
      </c>
    </row>
    <row r="69" spans="1:9" x14ac:dyDescent="0.3">
      <c r="A69" s="71">
        <v>56</v>
      </c>
      <c r="B69" s="15" t="s">
        <v>1206</v>
      </c>
      <c r="C69" s="38">
        <v>0.6</v>
      </c>
      <c r="D69" s="38">
        <v>0.6</v>
      </c>
      <c r="E69" s="38">
        <v>0.6</v>
      </c>
      <c r="F69" s="38">
        <v>0.6</v>
      </c>
      <c r="G69" s="38">
        <v>0.6</v>
      </c>
      <c r="H69" s="15"/>
      <c r="I69" s="15" t="s">
        <v>1207</v>
      </c>
    </row>
    <row r="70" spans="1:9" x14ac:dyDescent="0.3">
      <c r="A70" s="71">
        <v>57</v>
      </c>
      <c r="B70" s="15" t="s">
        <v>1208</v>
      </c>
      <c r="C70" s="60">
        <f>C69*C13</f>
        <v>4.0000000000000027</v>
      </c>
      <c r="D70" s="60">
        <f>D69*D13</f>
        <v>3.75</v>
      </c>
      <c r="E70" s="60">
        <f>E69*E13</f>
        <v>1.6753846153846148</v>
      </c>
      <c r="F70" s="60">
        <f>F69*F13</f>
        <v>1.7999999999999998</v>
      </c>
      <c r="G70" s="60">
        <f>G69*G13</f>
        <v>3.6818181818181799</v>
      </c>
      <c r="H70" s="15" t="s">
        <v>4</v>
      </c>
      <c r="I70" s="15" t="s">
        <v>1209</v>
      </c>
    </row>
    <row r="71" spans="1:9" x14ac:dyDescent="0.3">
      <c r="A71" s="71">
        <v>58</v>
      </c>
      <c r="B71" s="15" t="s">
        <v>1210</v>
      </c>
      <c r="C71" s="37">
        <v>2</v>
      </c>
      <c r="D71" s="37">
        <v>2</v>
      </c>
      <c r="E71" s="37">
        <v>2</v>
      </c>
      <c r="F71" s="28" t="s">
        <v>170</v>
      </c>
      <c r="G71" s="37">
        <v>2</v>
      </c>
      <c r="H71" s="15" t="s">
        <v>285</v>
      </c>
      <c r="I71" s="15" t="s">
        <v>1211</v>
      </c>
    </row>
    <row r="72" spans="1:9" x14ac:dyDescent="0.3">
      <c r="A72" s="71">
        <v>59</v>
      </c>
      <c r="B72" s="15" t="s">
        <v>1212</v>
      </c>
      <c r="C72" s="37">
        <v>1</v>
      </c>
      <c r="D72" s="37">
        <v>1</v>
      </c>
      <c r="E72" s="37">
        <v>1</v>
      </c>
      <c r="F72" s="28" t="s">
        <v>170</v>
      </c>
      <c r="G72" s="37">
        <v>1</v>
      </c>
      <c r="H72" s="15" t="s">
        <v>285</v>
      </c>
      <c r="I72" s="15" t="s">
        <v>1213</v>
      </c>
    </row>
    <row r="73" spans="1:9" x14ac:dyDescent="0.3">
      <c r="A73" s="71">
        <v>60</v>
      </c>
      <c r="B73" s="15" t="s">
        <v>1214</v>
      </c>
      <c r="C73" s="50">
        <f>(Calculos!$C$11-Calculos!$C$10)/C70-C71-C72</f>
        <v>18.249999999999986</v>
      </c>
      <c r="D73" s="50">
        <f>(Calculos!$C$11-Calculos!$C$10)/D70-D71-D72</f>
        <v>19.666666666666668</v>
      </c>
      <c r="E73" s="50">
        <f>(Calculos!$C$11-Calculos!$C$10)/E70-E71-E72</f>
        <v>47.734618916437114</v>
      </c>
      <c r="F73" s="28" t="s">
        <v>170</v>
      </c>
      <c r="G73" s="50">
        <f>(Calculos!$C$11-Calculos!$C$10)/G70-G71-G72</f>
        <v>20.086419753086432</v>
      </c>
      <c r="H73" s="15" t="s">
        <v>285</v>
      </c>
      <c r="I73" s="15" t="s">
        <v>989</v>
      </c>
    </row>
    <row r="74" spans="1:9" x14ac:dyDescent="0.3">
      <c r="A74" s="71">
        <v>61</v>
      </c>
      <c r="B74" s="15" t="s">
        <v>1215</v>
      </c>
      <c r="C74" s="37">
        <v>12</v>
      </c>
      <c r="D74" s="37">
        <v>12</v>
      </c>
      <c r="E74" s="37">
        <v>12</v>
      </c>
      <c r="F74" s="28" t="s">
        <v>170</v>
      </c>
      <c r="G74" s="37">
        <v>12</v>
      </c>
      <c r="H74" s="15" t="s">
        <v>285</v>
      </c>
      <c r="I74" s="15" t="s">
        <v>1216</v>
      </c>
    </row>
    <row r="75" spans="1:9" ht="26.4" x14ac:dyDescent="0.3">
      <c r="A75" s="71">
        <v>62</v>
      </c>
      <c r="B75" s="15" t="s">
        <v>1217</v>
      </c>
      <c r="C75" s="28" t="s">
        <v>170</v>
      </c>
      <c r="D75" s="28" t="s">
        <v>170</v>
      </c>
      <c r="E75" s="28" t="s">
        <v>170</v>
      </c>
      <c r="F75" s="37">
        <v>40</v>
      </c>
      <c r="G75" s="28" t="s">
        <v>170</v>
      </c>
      <c r="H75" s="15" t="s">
        <v>285</v>
      </c>
      <c r="I75" s="15" t="s">
        <v>1218</v>
      </c>
    </row>
    <row r="76" spans="1:9" x14ac:dyDescent="0.3">
      <c r="A76" s="71">
        <v>63</v>
      </c>
      <c r="B76" s="15" t="s">
        <v>1219</v>
      </c>
      <c r="C76" s="50">
        <f>Calculos!$C$10+C70*(C71+C72+C74)</f>
        <v>100.00000000000004</v>
      </c>
      <c r="D76" s="50">
        <f>Calculos!$C$10+D70*(D71+D72+D74)</f>
        <v>96.25</v>
      </c>
      <c r="E76" s="50">
        <f>Calculos!$C$10+E70*(E71+E72+E74)</f>
        <v>65.130769230769218</v>
      </c>
      <c r="F76" s="22">
        <f>Calculos!$C$10+F70*F75</f>
        <v>112</v>
      </c>
      <c r="G76" s="50">
        <f>Calculos!$C$10+G70*(G71+G72+G74)</f>
        <v>95.227272727272691</v>
      </c>
      <c r="H76" s="15" t="s">
        <v>157</v>
      </c>
      <c r="I76" s="15" t="s">
        <v>1220</v>
      </c>
    </row>
    <row r="77" spans="1:9" x14ac:dyDescent="0.3">
      <c r="A77" s="71">
        <v>64</v>
      </c>
      <c r="B77" s="15" t="s">
        <v>1221</v>
      </c>
      <c r="C77" s="57" t="str">
        <f>IF(C76&lt;=Calculos!$C$11,"OK","REVISAR")</f>
        <v>OK</v>
      </c>
      <c r="D77" s="57" t="str">
        <f>IF(D76&lt;=Calculos!$C$11,"OK","REVISAR")</f>
        <v>OK</v>
      </c>
      <c r="E77" s="57" t="str">
        <f>IF(E76&lt;=Calculos!$C$11,"OK","REVISAR")</f>
        <v>OK</v>
      </c>
      <c r="F77" s="57" t="str">
        <f>IF(F76&lt;=Calculos!$C$11,"OK","REVISAR")</f>
        <v>OK</v>
      </c>
      <c r="G77" s="57" t="str">
        <f>IF(G76&lt;=Calculos!$C$11,"OK","REVISAR")</f>
        <v>OK</v>
      </c>
      <c r="H77" s="15"/>
      <c r="I77" s="15" t="s">
        <v>1222</v>
      </c>
    </row>
    <row r="78" spans="1:9" x14ac:dyDescent="0.3">
      <c r="A78" s="81" t="s">
        <v>1223</v>
      </c>
      <c r="B78" s="82"/>
      <c r="C78" s="82"/>
      <c r="D78" s="82"/>
      <c r="E78" s="82"/>
      <c r="F78" s="82"/>
      <c r="G78" s="82"/>
      <c r="H78" s="82"/>
      <c r="I78" s="83"/>
    </row>
    <row r="79" spans="1:9" x14ac:dyDescent="0.3">
      <c r="A79" s="71">
        <v>65</v>
      </c>
      <c r="B79" s="15" t="s">
        <v>1224</v>
      </c>
      <c r="C79" s="23">
        <f>C9*Calculos!$C$16/Calculos!$C$15-0.000000001</f>
        <v>6.9999999989999999</v>
      </c>
      <c r="D79" s="23">
        <f>D9*Calculos!$C$16/Calculos!$C$15-0.000000001</f>
        <v>6.9999999989999999</v>
      </c>
      <c r="E79" s="23">
        <f>E9*Calculos!$C$16/Calculos!$C$15-0.000000001</f>
        <v>4.1999999990000001</v>
      </c>
      <c r="F79" s="23">
        <f>F9*Calculos!$C$16/Calculos!$C$15-0.000000001</f>
        <v>1.3999999990000001</v>
      </c>
      <c r="G79" s="23">
        <f>G9*Calculos!$C$16/Calculos!$C$15-0.000000001</f>
        <v>4.1999999990000001</v>
      </c>
      <c r="H79" s="15" t="s">
        <v>117</v>
      </c>
      <c r="I79" s="15" t="s">
        <v>1225</v>
      </c>
    </row>
    <row r="80" spans="1:9" x14ac:dyDescent="0.3">
      <c r="A80" s="71">
        <v>66</v>
      </c>
      <c r="B80" s="15" t="s">
        <v>1226</v>
      </c>
      <c r="C80" s="64">
        <f>IFERROR(MATCH(C79,$C$90:$C$100,1),0)</f>
        <v>9</v>
      </c>
      <c r="D80" s="64">
        <f>IFERROR(MATCH(D79,$C$90:$C$100,1),0)</f>
        <v>9</v>
      </c>
      <c r="E80" s="64">
        <f>IFERROR(MATCH(E79,$C$90:$C$100,1),0)</f>
        <v>7</v>
      </c>
      <c r="F80" s="64">
        <f>IFERROR(MATCH(F79,$C$90:$C$100,1),0)</f>
        <v>2</v>
      </c>
      <c r="G80" s="64">
        <f>IFERROR(MATCH(G79,$C$90:$C$100,1),0)</f>
        <v>7</v>
      </c>
      <c r="H80" s="15"/>
      <c r="I80" s="15" t="s">
        <v>1227</v>
      </c>
    </row>
    <row r="81" spans="1:9" x14ac:dyDescent="0.3">
      <c r="A81" s="71">
        <v>67</v>
      </c>
      <c r="B81" s="15" t="s">
        <v>1228</v>
      </c>
      <c r="C81" s="64">
        <f>IF(C80=0,1,IF(INDEX($C$90:$C$100,C80)&gt;=C79,C80,C80+1))</f>
        <v>10</v>
      </c>
      <c r="D81" s="64">
        <f>IF(D80=0,1,IF(INDEX($C$90:$C$100,D80)&gt;=D79,D80,D80+1))</f>
        <v>10</v>
      </c>
      <c r="E81" s="64">
        <f>IF(E80=0,1,IF(INDEX($C$90:$C$100,E80)&gt;=E79,E80,E80+1))</f>
        <v>8</v>
      </c>
      <c r="F81" s="64">
        <f>IF(F80=0,1,IF(INDEX($C$90:$C$100,F80)&gt;=F79,F80,F80+1))</f>
        <v>3</v>
      </c>
      <c r="G81" s="64">
        <f>IF(G80=0,1,IF(INDEX($C$90:$C$100,G80)&gt;=G79,G80,G80+1))</f>
        <v>8</v>
      </c>
      <c r="H81" s="15"/>
      <c r="I81" s="15" t="s">
        <v>1229</v>
      </c>
    </row>
    <row r="82" spans="1:9" x14ac:dyDescent="0.3">
      <c r="A82" s="71">
        <v>68</v>
      </c>
      <c r="B82" s="15" t="s">
        <v>1230</v>
      </c>
      <c r="C82" s="57" t="str">
        <f>INDEX($B$90:$B$100,C81)</f>
        <v>MF-R700</v>
      </c>
      <c r="D82" s="57" t="str">
        <f>INDEX($B$90:$B$100,D81)</f>
        <v>MF-R700</v>
      </c>
      <c r="E82" s="57" t="str">
        <f>INDEX($B$90:$B$100,E81)</f>
        <v>MF-R500</v>
      </c>
      <c r="F82" s="57" t="str">
        <f>INDEX($B$90:$B$100,F81)</f>
        <v>MF-R160</v>
      </c>
      <c r="G82" s="57" t="str">
        <f>INDEX($B$90:$B$100,G81)</f>
        <v>MF-R500</v>
      </c>
      <c r="H82" s="15"/>
      <c r="I82" s="15" t="s">
        <v>1231</v>
      </c>
    </row>
    <row r="83" spans="1:9" x14ac:dyDescent="0.3">
      <c r="A83" s="71">
        <v>69</v>
      </c>
      <c r="B83" s="15" t="s">
        <v>1232</v>
      </c>
      <c r="C83" s="60">
        <f>INDEX($C$90:$C$100,C81)</f>
        <v>7</v>
      </c>
      <c r="D83" s="60">
        <f>INDEX($C$90:$C$100,D81)</f>
        <v>7</v>
      </c>
      <c r="E83" s="60">
        <f>INDEX($C$90:$C$100,E81)</f>
        <v>5</v>
      </c>
      <c r="F83" s="60">
        <f>INDEX($C$90:$C$100,F81)</f>
        <v>1.6</v>
      </c>
      <c r="G83" s="60">
        <f>INDEX($C$90:$C$100,G81)</f>
        <v>5</v>
      </c>
      <c r="H83" s="15" t="s">
        <v>117</v>
      </c>
      <c r="I83" s="15" t="s">
        <v>1233</v>
      </c>
    </row>
    <row r="84" spans="1:9" x14ac:dyDescent="0.3">
      <c r="A84" s="71">
        <v>70</v>
      </c>
      <c r="B84" s="15" t="s">
        <v>1234</v>
      </c>
      <c r="C84" s="57" t="str">
        <f>IF(C83*Calculos!$C$15&gt;=C9,"OK","REVISAR")</f>
        <v>OK</v>
      </c>
      <c r="D84" s="57" t="str">
        <f>IF(D83*Calculos!$C$15&gt;=D9,"OK","REVISAR")</f>
        <v>OK</v>
      </c>
      <c r="E84" s="57" t="str">
        <f>IF(E83*Calculos!$C$15&gt;=E9,"OK","REVISAR")</f>
        <v>OK</v>
      </c>
      <c r="F84" s="57" t="str">
        <f>IF(F83*Calculos!$C$15&gt;=F9,"OK","REVISAR")</f>
        <v>OK</v>
      </c>
      <c r="G84" s="57" t="str">
        <f>IF(G83*Calculos!$C$15&gt;=G9,"OK","REVISAR")</f>
        <v>OK</v>
      </c>
      <c r="H84" s="15"/>
      <c r="I84" s="15" t="s">
        <v>1235</v>
      </c>
    </row>
    <row r="85" spans="1:9" ht="26.4" x14ac:dyDescent="0.3">
      <c r="A85" s="71">
        <v>71</v>
      </c>
      <c r="B85" s="15" t="s">
        <v>1236</v>
      </c>
      <c r="C85" s="72" t="s">
        <v>1237</v>
      </c>
      <c r="D85" s="72" t="s">
        <v>1238</v>
      </c>
      <c r="E85" s="72" t="s">
        <v>1239</v>
      </c>
      <c r="F85" s="72" t="s">
        <v>1240</v>
      </c>
      <c r="G85" s="72" t="s">
        <v>1241</v>
      </c>
      <c r="H85" s="15"/>
      <c r="I85" s="15" t="s">
        <v>1242</v>
      </c>
    </row>
    <row r="86" spans="1:9" x14ac:dyDescent="0.3">
      <c r="A86" s="71">
        <v>72</v>
      </c>
      <c r="B86" s="15" t="s">
        <v>1243</v>
      </c>
      <c r="C86" s="37">
        <v>13</v>
      </c>
      <c r="D86" s="37">
        <v>6</v>
      </c>
      <c r="E86" s="37">
        <v>3.9</v>
      </c>
      <c r="F86" s="37">
        <v>13</v>
      </c>
      <c r="G86" s="37">
        <v>16</v>
      </c>
      <c r="H86" s="15" t="s">
        <v>10</v>
      </c>
      <c r="I86" s="15" t="s">
        <v>1244</v>
      </c>
    </row>
    <row r="87" spans="1:9" x14ac:dyDescent="0.3">
      <c r="A87" s="71">
        <v>73</v>
      </c>
      <c r="B87" s="15" t="s">
        <v>1245</v>
      </c>
      <c r="C87" s="37">
        <v>21.5</v>
      </c>
      <c r="D87" s="37">
        <v>10.3</v>
      </c>
      <c r="E87" s="37">
        <v>4.0999999999999996</v>
      </c>
      <c r="F87" s="37">
        <v>21.5</v>
      </c>
      <c r="G87" s="37">
        <v>26</v>
      </c>
      <c r="H87" s="15" t="s">
        <v>10</v>
      </c>
      <c r="I87" s="15" t="s">
        <v>1246</v>
      </c>
    </row>
    <row r="88" spans="1:9" x14ac:dyDescent="0.3">
      <c r="A88" s="71">
        <v>74</v>
      </c>
      <c r="B88" s="15" t="s">
        <v>1247</v>
      </c>
      <c r="C88" s="57" t="str">
        <f>IF(C86&gt;=ABS(C8)*(1+Calculos!$C$12),"OK","REVISAR")</f>
        <v>OK</v>
      </c>
      <c r="D88" s="57" t="str">
        <f>IF(D86&gt;=ABS(D8)*(1+Calculos!$C$12),"OK","REVISAR")</f>
        <v>OK</v>
      </c>
      <c r="E88" s="57" t="str">
        <f>IF(E86&gt;=ABS(E8)*(1+Calculos!$C$12),"OK","REVISAR")</f>
        <v>OK</v>
      </c>
      <c r="F88" s="57" t="str">
        <f>IF(F86&gt;=ABS(F8)*(1+Calculos!$C$12),"OK","REVISAR")</f>
        <v>OK</v>
      </c>
      <c r="G88" s="57" t="str">
        <f>IF(G86&gt;=ABS(G8)*(1+Calculos!$C$12),"OK","REVISAR")</f>
        <v>OK</v>
      </c>
      <c r="H88" s="15"/>
      <c r="I88" s="15" t="s">
        <v>1248</v>
      </c>
    </row>
    <row r="89" spans="1:9" x14ac:dyDescent="0.3">
      <c r="A89" s="81" t="s">
        <v>1249</v>
      </c>
      <c r="B89" s="82"/>
      <c r="C89" s="82"/>
      <c r="D89" s="82"/>
      <c r="E89" s="82"/>
      <c r="F89" s="82"/>
      <c r="G89" s="82"/>
      <c r="H89" s="82"/>
      <c r="I89" s="83"/>
    </row>
    <row r="90" spans="1:9" ht="26.4" x14ac:dyDescent="0.3">
      <c r="A90" s="15"/>
      <c r="B90" s="15" t="s">
        <v>1250</v>
      </c>
      <c r="C90" s="74">
        <v>1.1000000000000001</v>
      </c>
      <c r="D90" s="75">
        <v>2.2000000000000002</v>
      </c>
      <c r="E90" s="15"/>
      <c r="F90" s="15"/>
      <c r="G90" s="15"/>
      <c r="H90" s="15" t="s">
        <v>117</v>
      </c>
      <c r="I90" s="15" t="s">
        <v>1251</v>
      </c>
    </row>
    <row r="91" spans="1:9" ht="26.4" x14ac:dyDescent="0.3">
      <c r="A91" s="15"/>
      <c r="B91" s="15" t="s">
        <v>1252</v>
      </c>
      <c r="C91" s="74">
        <v>1.35</v>
      </c>
      <c r="D91" s="75">
        <v>2.7</v>
      </c>
      <c r="E91" s="15"/>
      <c r="F91" s="15"/>
      <c r="G91" s="15"/>
      <c r="H91" s="15" t="s">
        <v>117</v>
      </c>
      <c r="I91" s="15" t="s">
        <v>1251</v>
      </c>
    </row>
    <row r="92" spans="1:9" ht="26.4" x14ac:dyDescent="0.3">
      <c r="A92" s="15"/>
      <c r="B92" s="15" t="s">
        <v>1253</v>
      </c>
      <c r="C92" s="74">
        <v>1.6</v>
      </c>
      <c r="D92" s="75">
        <v>3.2</v>
      </c>
      <c r="E92" s="15"/>
      <c r="F92" s="15"/>
      <c r="G92" s="15"/>
      <c r="H92" s="15" t="s">
        <v>117</v>
      </c>
      <c r="I92" s="15" t="s">
        <v>1251</v>
      </c>
    </row>
    <row r="93" spans="1:9" ht="26.4" x14ac:dyDescent="0.3">
      <c r="A93" s="15"/>
      <c r="B93" s="15" t="s">
        <v>1254</v>
      </c>
      <c r="C93" s="74">
        <v>1.85</v>
      </c>
      <c r="D93" s="75">
        <v>3.7</v>
      </c>
      <c r="E93" s="15"/>
      <c r="F93" s="15"/>
      <c r="G93" s="15"/>
      <c r="H93" s="15" t="s">
        <v>117</v>
      </c>
      <c r="I93" s="15" t="s">
        <v>1251</v>
      </c>
    </row>
    <row r="94" spans="1:9" ht="26.4" x14ac:dyDescent="0.3">
      <c r="A94" s="15"/>
      <c r="B94" s="15" t="s">
        <v>1255</v>
      </c>
      <c r="C94" s="74">
        <v>2.5</v>
      </c>
      <c r="D94" s="75">
        <v>5</v>
      </c>
      <c r="E94" s="15"/>
      <c r="F94" s="15"/>
      <c r="G94" s="15"/>
      <c r="H94" s="15" t="s">
        <v>117</v>
      </c>
      <c r="I94" s="15" t="s">
        <v>1251</v>
      </c>
    </row>
    <row r="95" spans="1:9" ht="26.4" x14ac:dyDescent="0.3">
      <c r="A95" s="15"/>
      <c r="B95" s="15" t="s">
        <v>1256</v>
      </c>
      <c r="C95" s="74">
        <v>3</v>
      </c>
      <c r="D95" s="75">
        <v>6</v>
      </c>
      <c r="E95" s="15"/>
      <c r="F95" s="15"/>
      <c r="G95" s="15"/>
      <c r="H95" s="15" t="s">
        <v>117</v>
      </c>
      <c r="I95" s="15" t="s">
        <v>1251</v>
      </c>
    </row>
    <row r="96" spans="1:9" ht="26.4" x14ac:dyDescent="0.3">
      <c r="A96" s="15"/>
      <c r="B96" s="15" t="s">
        <v>1257</v>
      </c>
      <c r="C96" s="74">
        <v>4</v>
      </c>
      <c r="D96" s="75">
        <v>8</v>
      </c>
      <c r="E96" s="15"/>
      <c r="F96" s="15"/>
      <c r="G96" s="15"/>
      <c r="H96" s="15" t="s">
        <v>117</v>
      </c>
      <c r="I96" s="15" t="s">
        <v>1251</v>
      </c>
    </row>
    <row r="97" spans="1:9" ht="26.4" x14ac:dyDescent="0.3">
      <c r="A97" s="15"/>
      <c r="B97" s="15" t="s">
        <v>1258</v>
      </c>
      <c r="C97" s="74">
        <v>5</v>
      </c>
      <c r="D97" s="75">
        <v>10</v>
      </c>
      <c r="E97" s="15"/>
      <c r="F97" s="15"/>
      <c r="G97" s="15"/>
      <c r="H97" s="15" t="s">
        <v>117</v>
      </c>
      <c r="I97" s="15" t="s">
        <v>1251</v>
      </c>
    </row>
    <row r="98" spans="1:9" ht="26.4" x14ac:dyDescent="0.3">
      <c r="A98" s="15"/>
      <c r="B98" s="15" t="s">
        <v>1259</v>
      </c>
      <c r="C98" s="74">
        <v>6</v>
      </c>
      <c r="D98" s="75">
        <v>12</v>
      </c>
      <c r="E98" s="15"/>
      <c r="F98" s="15"/>
      <c r="G98" s="15"/>
      <c r="H98" s="15" t="s">
        <v>117</v>
      </c>
      <c r="I98" s="15" t="s">
        <v>1251</v>
      </c>
    </row>
    <row r="99" spans="1:9" ht="26.4" x14ac:dyDescent="0.3">
      <c r="A99" s="15"/>
      <c r="B99" s="15" t="s">
        <v>1260</v>
      </c>
      <c r="C99" s="74">
        <v>7</v>
      </c>
      <c r="D99" s="75">
        <v>14</v>
      </c>
      <c r="E99" s="15"/>
      <c r="F99" s="15"/>
      <c r="G99" s="15"/>
      <c r="H99" s="15" t="s">
        <v>117</v>
      </c>
      <c r="I99" s="15" t="s">
        <v>1251</v>
      </c>
    </row>
    <row r="100" spans="1:9" ht="26.4" x14ac:dyDescent="0.3">
      <c r="A100" s="15"/>
      <c r="B100" s="15" t="s">
        <v>1261</v>
      </c>
      <c r="C100" s="74">
        <v>8</v>
      </c>
      <c r="D100" s="75">
        <v>16</v>
      </c>
      <c r="E100" s="15"/>
      <c r="F100" s="15"/>
      <c r="G100" s="15"/>
      <c r="H100" s="15" t="s">
        <v>117</v>
      </c>
      <c r="I100" s="15" t="s">
        <v>1251</v>
      </c>
    </row>
  </sheetData>
  <mergeCells count="12">
    <mergeCell ref="A89:I89"/>
    <mergeCell ref="A23:I23"/>
    <mergeCell ref="A67:I67"/>
    <mergeCell ref="A31:I31"/>
    <mergeCell ref="A61:I61"/>
    <mergeCell ref="A55:I55"/>
    <mergeCell ref="A78:I78"/>
    <mergeCell ref="A2:I2"/>
    <mergeCell ref="A5:I5"/>
    <mergeCell ref="A42:I42"/>
    <mergeCell ref="A46:I46"/>
    <mergeCell ref="A14:I14"/>
  </mergeCells>
  <conditionalFormatting sqref="C5:G100">
    <cfRule type="expression" dxfId="1" priority="1">
      <formula>OR(ISNUMBER(SEARCH("REVISAR",C5)),ISNUMBER(SEARCH("NO CUMPLE",C5)),ISNUMBER(SEARCH("No cumple",C5)))</formula>
    </cfRule>
    <cfRule type="expression" dxfId="0" priority="2">
      <formula>OR(LEFT(C5,2)="OK",C5="Cumple")</formula>
    </cfRule>
  </conditionalFormatting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19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8" customWidth="1"/>
    <col min="2" max="2" width="40" customWidth="1"/>
    <col min="3" max="3" width="44" customWidth="1"/>
    <col min="4" max="4" width="14" customWidth="1"/>
    <col min="5" max="5" width="11" customWidth="1"/>
    <col min="6" max="6" width="70" customWidth="1"/>
    <col min="7" max="7" width="18" customWidth="1"/>
  </cols>
  <sheetData>
    <row r="1" spans="1:7" ht="17.399999999999999" x14ac:dyDescent="0.3">
      <c r="A1" s="1" t="s">
        <v>1262</v>
      </c>
    </row>
    <row r="2" spans="1:7" ht="42" customHeight="1" x14ac:dyDescent="0.3">
      <c r="A2" s="80" t="s">
        <v>1263</v>
      </c>
      <c r="B2" s="79"/>
      <c r="C2" s="79"/>
      <c r="D2" s="79"/>
      <c r="E2" s="79"/>
      <c r="F2" s="79"/>
      <c r="G2" s="79"/>
    </row>
    <row r="3" spans="1:7" ht="26.4" x14ac:dyDescent="0.3">
      <c r="A3" s="14" t="s">
        <v>59</v>
      </c>
      <c r="B3" s="14" t="s">
        <v>1264</v>
      </c>
      <c r="C3" s="14" t="s">
        <v>1265</v>
      </c>
      <c r="D3" s="14" t="s">
        <v>61</v>
      </c>
      <c r="E3" s="14" t="s">
        <v>62</v>
      </c>
      <c r="F3" s="14" t="s">
        <v>375</v>
      </c>
      <c r="G3" s="14" t="s">
        <v>1266</v>
      </c>
    </row>
    <row r="4" spans="1:7" ht="26.4" x14ac:dyDescent="0.3">
      <c r="A4" s="15" t="s">
        <v>1267</v>
      </c>
      <c r="B4" s="15" t="s">
        <v>1268</v>
      </c>
      <c r="C4" s="15" t="s">
        <v>1269</v>
      </c>
      <c r="D4" s="43">
        <f>Calculos!$C$27</f>
        <v>20</v>
      </c>
      <c r="E4" s="15" t="s">
        <v>93</v>
      </c>
      <c r="F4" s="15" t="s">
        <v>1270</v>
      </c>
      <c r="G4" s="27" t="s">
        <v>1271</v>
      </c>
    </row>
    <row r="5" spans="1:7" x14ac:dyDescent="0.3">
      <c r="A5" s="15" t="s">
        <v>1272</v>
      </c>
      <c r="B5" s="15" t="s">
        <v>1273</v>
      </c>
      <c r="C5" s="15" t="s">
        <v>1274</v>
      </c>
      <c r="D5" s="30">
        <f>Calculos!$C$30</f>
        <v>20</v>
      </c>
      <c r="E5" s="15" t="s">
        <v>191</v>
      </c>
      <c r="F5" s="15" t="s">
        <v>1275</v>
      </c>
      <c r="G5" s="27" t="s">
        <v>1271</v>
      </c>
    </row>
    <row r="6" spans="1:7" ht="26.4" x14ac:dyDescent="0.3">
      <c r="A6" s="15" t="s">
        <v>1276</v>
      </c>
      <c r="B6" s="15" t="s">
        <v>1277</v>
      </c>
      <c r="C6" s="15" t="s">
        <v>1278</v>
      </c>
      <c r="D6" s="43">
        <f>Calculos!$C$26</f>
        <v>400</v>
      </c>
      <c r="E6" s="15" t="s">
        <v>320</v>
      </c>
      <c r="F6" s="15" t="s">
        <v>1279</v>
      </c>
      <c r="G6" s="27" t="s">
        <v>1271</v>
      </c>
    </row>
    <row r="7" spans="1:7" ht="26.4" x14ac:dyDescent="0.3">
      <c r="A7" s="15" t="s">
        <v>1280</v>
      </c>
      <c r="B7" s="15" t="s">
        <v>1281</v>
      </c>
      <c r="C7" s="15" t="s">
        <v>1282</v>
      </c>
      <c r="D7" s="30">
        <f>Calculos!$C$59</f>
        <v>17.892967032967032</v>
      </c>
      <c r="E7" s="15" t="s">
        <v>10</v>
      </c>
      <c r="F7" s="15" t="s">
        <v>1283</v>
      </c>
      <c r="G7" s="27" t="s">
        <v>1271</v>
      </c>
    </row>
    <row r="8" spans="1:7" x14ac:dyDescent="0.3">
      <c r="A8" s="15" t="s">
        <v>1284</v>
      </c>
      <c r="B8" s="15" t="s">
        <v>1285</v>
      </c>
      <c r="C8" s="15" t="s">
        <v>1286</v>
      </c>
      <c r="D8" s="30">
        <f>Calculos!$C$40</f>
        <v>3</v>
      </c>
      <c r="E8" s="15" t="s">
        <v>10</v>
      </c>
      <c r="F8" s="15" t="s">
        <v>1287</v>
      </c>
      <c r="G8" s="27" t="s">
        <v>1271</v>
      </c>
    </row>
    <row r="9" spans="1:7" ht="26.4" x14ac:dyDescent="0.3">
      <c r="A9" s="15" t="s">
        <v>1288</v>
      </c>
      <c r="B9" s="15" t="s">
        <v>1289</v>
      </c>
      <c r="C9" s="15" t="s">
        <v>1290</v>
      </c>
      <c r="D9" s="30">
        <f>Calculos!$C$22</f>
        <v>176.74533799533799</v>
      </c>
      <c r="E9" s="15" t="s">
        <v>4</v>
      </c>
      <c r="F9" s="15" t="s">
        <v>1291</v>
      </c>
      <c r="G9" s="27" t="s">
        <v>1292</v>
      </c>
    </row>
    <row r="10" spans="1:7" x14ac:dyDescent="0.3">
      <c r="A10" s="15" t="s">
        <v>1293</v>
      </c>
      <c r="B10" s="15" t="s">
        <v>140</v>
      </c>
      <c r="C10" s="15" t="s">
        <v>1294</v>
      </c>
      <c r="D10" s="39">
        <f>Calculos!$C$12</f>
        <v>0.03</v>
      </c>
      <c r="E10" s="15" t="s">
        <v>141</v>
      </c>
      <c r="F10" s="15" t="s">
        <v>1295</v>
      </c>
      <c r="G10" s="27" t="s">
        <v>1271</v>
      </c>
    </row>
    <row r="11" spans="1:7" x14ac:dyDescent="0.3">
      <c r="A11" s="15" t="s">
        <v>1296</v>
      </c>
      <c r="B11" s="15" t="s">
        <v>1297</v>
      </c>
      <c r="C11" s="15" t="s">
        <v>1298</v>
      </c>
      <c r="D11" s="41">
        <f>Calculos!$C$13</f>
        <v>0.01</v>
      </c>
      <c r="E11" s="15" t="s">
        <v>146</v>
      </c>
      <c r="F11" s="15" t="s">
        <v>1299</v>
      </c>
      <c r="G11" s="27" t="s">
        <v>1271</v>
      </c>
    </row>
    <row r="12" spans="1:7" ht="26.4" x14ac:dyDescent="0.3">
      <c r="A12" s="15" t="s">
        <v>1300</v>
      </c>
      <c r="B12" s="15" t="s">
        <v>1301</v>
      </c>
      <c r="C12" s="15" t="s">
        <v>1302</v>
      </c>
      <c r="D12" s="27" t="s">
        <v>1303</v>
      </c>
      <c r="E12" s="15"/>
      <c r="F12" s="15" t="s">
        <v>1304</v>
      </c>
      <c r="G12" s="27" t="s">
        <v>1271</v>
      </c>
    </row>
    <row r="13" spans="1:7" x14ac:dyDescent="0.3">
      <c r="A13" s="15" t="s">
        <v>1305</v>
      </c>
      <c r="B13" s="15" t="s">
        <v>1306</v>
      </c>
      <c r="C13" s="15" t="s">
        <v>1307</v>
      </c>
      <c r="D13" s="30">
        <f>Calculos!$C$93</f>
        <v>4</v>
      </c>
      <c r="E13" s="15" t="s">
        <v>117</v>
      </c>
      <c r="F13" s="15" t="s">
        <v>1308</v>
      </c>
      <c r="G13" s="27" t="s">
        <v>1271</v>
      </c>
    </row>
    <row r="14" spans="1:7" x14ac:dyDescent="0.3">
      <c r="A14" s="15" t="s">
        <v>1309</v>
      </c>
      <c r="B14" s="15" t="s">
        <v>1310</v>
      </c>
      <c r="C14" s="15" t="s">
        <v>1311</v>
      </c>
      <c r="D14" s="43">
        <f>Calculos!$C$118</f>
        <v>15</v>
      </c>
      <c r="E14" s="15" t="s">
        <v>117</v>
      </c>
      <c r="F14" s="15" t="s">
        <v>1312</v>
      </c>
      <c r="G14" s="27" t="s">
        <v>1271</v>
      </c>
    </row>
    <row r="15" spans="1:7" x14ac:dyDescent="0.3">
      <c r="A15" s="15" t="s">
        <v>1313</v>
      </c>
      <c r="B15" s="15" t="s">
        <v>1314</v>
      </c>
      <c r="C15" s="15" t="s">
        <v>1315</v>
      </c>
      <c r="D15" s="27" t="s">
        <v>1316</v>
      </c>
      <c r="E15" s="15"/>
      <c r="F15" s="15" t="s">
        <v>1317</v>
      </c>
      <c r="G15" s="27" t="s">
        <v>1271</v>
      </c>
    </row>
    <row r="16" spans="1:7" x14ac:dyDescent="0.3">
      <c r="A16" s="15" t="s">
        <v>1318</v>
      </c>
      <c r="B16" s="15" t="s">
        <v>1319</v>
      </c>
      <c r="C16" s="15" t="s">
        <v>1320</v>
      </c>
      <c r="D16" s="39">
        <f>Calculos!$C$140</f>
        <v>0.7</v>
      </c>
      <c r="E16" s="15"/>
      <c r="F16" s="15" t="s">
        <v>1321</v>
      </c>
      <c r="G16" s="27" t="s">
        <v>1271</v>
      </c>
    </row>
    <row r="17" spans="1:7" ht="26.4" x14ac:dyDescent="0.3">
      <c r="A17" s="15" t="s">
        <v>1322</v>
      </c>
      <c r="B17" s="15" t="s">
        <v>152</v>
      </c>
      <c r="C17" s="15" t="s">
        <v>1323</v>
      </c>
      <c r="D17" s="27" t="s">
        <v>153</v>
      </c>
      <c r="E17" s="15"/>
      <c r="F17" s="15" t="s">
        <v>1324</v>
      </c>
      <c r="G17" s="27" t="s">
        <v>1292</v>
      </c>
    </row>
    <row r="18" spans="1:7" ht="26.4" x14ac:dyDescent="0.3">
      <c r="A18" s="15" t="s">
        <v>1325</v>
      </c>
      <c r="B18" s="15" t="s">
        <v>1326</v>
      </c>
      <c r="C18" s="15" t="s">
        <v>1327</v>
      </c>
      <c r="D18" s="27" t="s">
        <v>1328</v>
      </c>
      <c r="E18" s="15"/>
      <c r="F18" s="15" t="s">
        <v>1329</v>
      </c>
      <c r="G18" s="27" t="s">
        <v>1292</v>
      </c>
    </row>
    <row r="19" spans="1:7" x14ac:dyDescent="0.3">
      <c r="A19" s="15" t="s">
        <v>1330</v>
      </c>
      <c r="B19" s="15" t="s">
        <v>1331</v>
      </c>
      <c r="C19" s="15" t="s">
        <v>1332</v>
      </c>
      <c r="D19" s="43">
        <f>Calculos!$C$5</f>
        <v>120</v>
      </c>
      <c r="E19" s="15" t="s">
        <v>93</v>
      </c>
      <c r="F19" s="15" t="s">
        <v>1333</v>
      </c>
      <c r="G19" s="27" t="s">
        <v>1292</v>
      </c>
    </row>
  </sheetData>
  <mergeCells count="1">
    <mergeCell ref="A2:G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Especificaciones</vt:lpstr>
      <vt:lpstr>Req_Funcionales</vt:lpstr>
      <vt:lpstr>Req_NoFuncionales</vt:lpstr>
      <vt:lpstr>Restricciones</vt:lpstr>
      <vt:lpstr>Lista_Componentes</vt:lpstr>
      <vt:lpstr>Calculos</vt:lpstr>
      <vt:lpstr>Convertidores</vt:lpstr>
      <vt:lpstr>Decisiones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Ronaldo Ducuara Alape</cp:lastModifiedBy>
  <dcterms:created xsi:type="dcterms:W3CDTF">2026-10-03T01:56:32Z</dcterms:created>
  <dcterms:modified xsi:type="dcterms:W3CDTF">2026-10-03T02:51:59Z</dcterms:modified>
</cp:coreProperties>
</file>